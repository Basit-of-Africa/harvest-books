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 tabRatio="788"/>
  </bookViews>
  <sheets>
    <sheet name="Start Here" sheetId="1" r:id="rId1"/>
    <sheet name="Cash Book" sheetId="2" r:id="rId2"/>
    <sheet name="Sales Book" sheetId="3" r:id="rId3"/>
    <sheet name="Purchases Book" sheetId="4" r:id="rId4"/>
    <sheet name="Petty Cash" sheetId="5" r:id="rId5"/>
    <sheet name="Inventory Register" sheetId="6" r:id="rId6"/>
    <sheet name="Payroll" sheetId="7" r:id="rId7"/>
    <sheet name="Asset Register" sheetId="8" r:id="rId8"/>
    <sheet name="Debtors &amp; Creditors" sheetId="9" r:id="rId9"/>
    <sheet name="Monthly Summ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<sst xmlns="http://schemas.openxmlformats.org/spreadsheetml/2006/main" count="137" uniqueCount="115">
  <si>
    <t>Simple Bookkeeping Pack</t>
  </si>
  <si>
    <t>Built for a growing agro startup — fill in the yellow cells; formulas do the rest</t>
  </si>
  <si>
    <t>What this is</t>
  </si>
  <si>
    <t>A set of 9 linked books covering the essentials: cash, sales, purchases, petty cash, inventory, payroll, assets, and debtors/creditors, plus a Monthly Summary that pulls totals automatically.</t>
  </si>
  <si>
    <t>Where to enter data</t>
  </si>
  <si>
    <t>Type directly into the row under each example row (shown in blue italics). Delete the blue example row once you're comfortable, or just leave it as a reference — the formulas start from your first real entry.</t>
  </si>
  <si>
    <t>Colour code</t>
  </si>
  <si>
    <t>Blue italic text = example row (for reference only). Yellow fill = cells you should edit or check. Everything else recalculates automatically — don't type over formula cells.</t>
  </si>
  <si>
    <t>Cash Book</t>
  </si>
  <si>
    <t>Every naira in or out of the business bank/cash account. Balance updates automatically. This is the single most important book — start here.</t>
  </si>
  <si>
    <t>Sales Book</t>
  </si>
  <si>
    <t>Every sale made, cash or credit. Amount is calculated automatically from Quantity x Unit Price.</t>
  </si>
  <si>
    <t>Purchases Book</t>
  </si>
  <si>
    <t>Every input or item bought — seeds, feed, fertiliser, packaging, equipment.</t>
  </si>
  <si>
    <t>Petty Cash</t>
  </si>
  <si>
    <t>Small day-to-day cash expenses (transport, casual labour, minor repairs), kept separate from the main Cash Book.</t>
  </si>
  <si>
    <t>Inventory Register</t>
  </si>
  <si>
    <t>Tracks stock — inputs, growing stock, and harvested/finished produce — so nothing quietly goes missing or spoils unrecorded.</t>
  </si>
  <si>
    <t>Payroll</t>
  </si>
  <si>
    <t>Wages and salaries paid to staff and farm hands.</t>
  </si>
  <si>
    <t>Asset Register</t>
  </si>
  <si>
    <t>Equipment, machinery, vehicles and land improvements, with straight-line depreciation calculated automatically.</t>
  </si>
  <si>
    <t>Debtors &amp; Creditors</t>
  </si>
  <si>
    <t>Who owes the business money, and who the business owes — critical if you extend or receive trade credit.</t>
  </si>
  <si>
    <t>Monthly Summary</t>
  </si>
  <si>
    <t>Set a start and end date at the top and it pulls totals for that period from every other book automatically. Use it to check monthly performance at a glance.</t>
  </si>
  <si>
    <t>Recommended rollout</t>
  </si>
  <si>
    <t>Start with Cash Book, Sales Book, and Purchases Book — these alone will show whether the business is making money. Add Inventory and Payroll once that's routine. Review the Monthly Summary at the end of every month.</t>
  </si>
  <si>
    <t>Every naira in and out of the business bank/cash account</t>
  </si>
  <si>
    <t>Date</t>
  </si>
  <si>
    <t>Description</t>
  </si>
  <si>
    <t>Ref/Voucher No</t>
  </si>
  <si>
    <t>Money In (₦)</t>
  </si>
  <si>
    <t>Money Out (₦)</t>
  </si>
  <si>
    <t>Balance (₦)</t>
  </si>
  <si>
    <t>Opening balance</t>
  </si>
  <si>
    <t>Sale of maize - Osogbo market</t>
  </si>
  <si>
    <t>CB-001</t>
  </si>
  <si>
    <t>Every sale made — cash or credit</t>
  </si>
  <si>
    <t>Customer</t>
  </si>
  <si>
    <t>Product</t>
  </si>
  <si>
    <t>Quantity</t>
  </si>
  <si>
    <t>Unit Price (₦)</t>
  </si>
  <si>
    <t>Amount (₦)</t>
  </si>
  <si>
    <t>Payment Status</t>
  </si>
  <si>
    <t>Alaba Foods Ltd</t>
  </si>
  <si>
    <t>Maize (50kg bags)</t>
  </si>
  <si>
    <t>Cash</t>
  </si>
  <si>
    <t>Total Sales</t>
  </si>
  <si>
    <t>Every input or item bought for the business</t>
  </si>
  <si>
    <t>Supplier</t>
  </si>
  <si>
    <t>Item</t>
  </si>
  <si>
    <t>Unit Cost (₦)</t>
  </si>
  <si>
    <t>Osogbo Agro Supplies</t>
  </si>
  <si>
    <t>NPK Fertiliser (50kg)</t>
  </si>
  <si>
    <t>Bank Transfer</t>
  </si>
  <si>
    <t>Total Purchases</t>
  </si>
  <si>
    <t>Petty Cash Book</t>
  </si>
  <si>
    <t>Small day-to-day cash expenses, kept separate from the main Cash Book</t>
  </si>
  <si>
    <t>Voucher No</t>
  </si>
  <si>
    <t>Amount Out (₦)</t>
  </si>
  <si>
    <t>Petty cash float</t>
  </si>
  <si>
    <t>Transport - delivery to market</t>
  </si>
  <si>
    <t>PC-001</t>
  </si>
  <si>
    <t>Inventory / Stock Register</t>
  </si>
  <si>
    <t>Track inputs, growing stock, and harvested or finished produce</t>
  </si>
  <si>
    <t>Type (Input/Produce)</t>
  </si>
  <si>
    <t>Unit</t>
  </si>
  <si>
    <t>Qty In</t>
  </si>
  <si>
    <t>Qty Out</t>
  </si>
  <si>
    <t>Balance Qty</t>
  </si>
  <si>
    <t>Notes</t>
  </si>
  <si>
    <t>NPK Fertiliser</t>
  </si>
  <si>
    <t>Input</t>
  </si>
  <si>
    <t>50kg bags</t>
  </si>
  <si>
    <t>Delivered by Osogbo Agro Supplies</t>
  </si>
  <si>
    <t>Payroll / Wages Book</t>
  </si>
  <si>
    <t>Wages and salaries paid to staff and farm hands</t>
  </si>
  <si>
    <t>Date/Period</t>
  </si>
  <si>
    <t>Staff Name</t>
  </si>
  <si>
    <t>Role</t>
  </si>
  <si>
    <t>Days/Hours Worked</t>
  </si>
  <si>
    <t>Rate (₦)</t>
  </si>
  <si>
    <t>Amount Paid (₦)</t>
  </si>
  <si>
    <t>Payment Method</t>
  </si>
  <si>
    <t>Musa Ibrahim</t>
  </si>
  <si>
    <t>Farm Hand</t>
  </si>
  <si>
    <t>Total Payroll</t>
  </si>
  <si>
    <t>Equipment, machinery, vehicles, and land improvements</t>
  </si>
  <si>
    <t>Date Acquired</t>
  </si>
  <si>
    <t>Asset</t>
  </si>
  <si>
    <t>Cost (₦)</t>
  </si>
  <si>
    <t>Useful Life (Years)</t>
  </si>
  <si>
    <t>Annual Depreciation (₦)</t>
  </si>
  <si>
    <t>Water Pump (Petrol)</t>
  </si>
  <si>
    <t>2HP irrigation pump</t>
  </si>
  <si>
    <t>Debtors &amp; Creditors Ledger</t>
  </si>
  <si>
    <t>Who owes the business, and who the business owes</t>
  </si>
  <si>
    <t>Type</t>
  </si>
  <si>
    <t>Name</t>
  </si>
  <si>
    <t>Due Date</t>
  </si>
  <si>
    <t>Status</t>
  </si>
  <si>
    <t>Debtor</t>
  </si>
  <si>
    <t>Blessing Stores (Ibadan)</t>
  </si>
  <si>
    <t>Maize supplied on credit</t>
  </si>
  <si>
    <t>Outstanding</t>
  </si>
  <si>
    <t>Set the period below — totals pull automatically from every other book</t>
  </si>
  <si>
    <t>Period Start</t>
  </si>
  <si>
    <t>Period End</t>
  </si>
  <si>
    <t>Total Cash In</t>
  </si>
  <si>
    <t>Total Cash Out</t>
  </si>
  <si>
    <t>Total Payroll Paid</t>
  </si>
  <si>
    <t>Total Petty Cash Spent</t>
  </si>
  <si>
    <t>Net Cash Flow for Period</t>
  </si>
  <si>
    <t>Gross Margin (Sales - Purchases)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</si>
</sst>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/mmm/yyyy"/>
    <numFmt numFmtId="177" formatCode="&quot;₦&quot;#,##0.00"/>
  </numFmts>
  <fonts count="28">
    <font>
      <sz val="11"/>
      <color theme="1"/>
      <name val="Calibri"/>
      <charset val="1"/>
    </font>
    <font>
      <b/>
      <sz val="16"/>
      <color rgb="FF1F6B3A"/>
      <name val="Arial"/>
      <charset val="1"/>
    </font>
    <font>
      <i/>
      <sz val="10"/>
      <color rgb="FF555555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i/>
      <sz val="11"/>
      <color rgb="FF0000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9C4"/>
        <bgColor rgb="FFFFFDE7"/>
      </patternFill>
    </fill>
    <fill>
      <patternFill patternType="solid">
        <fgColor rgb="FF1F6B3A"/>
        <bgColor rgb="FF008080"/>
      </patternFill>
    </fill>
    <fill>
      <patternFill patternType="solid">
        <fgColor rgb="FFFFFDE7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/>
    <xf numFmtId="0" fontId="3" fillId="0" borderId="1" xfId="0" applyFont="1" applyBorder="1"/>
    <xf numFmtId="176" fontId="0" fillId="2" borderId="1" xfId="0" applyNumberFormat="1" applyFill="1" applyBorder="1"/>
    <xf numFmtId="0" fontId="0" fillId="0" borderId="1" xfId="0" applyBorder="1"/>
    <xf numFmtId="177" fontId="4" fillId="0" borderId="1" xfId="0" applyNumberFormat="1" applyFont="1" applyBorder="1"/>
    <xf numFmtId="177" fontId="3" fillId="0" borderId="1" xfId="0" applyNumberFormat="1" applyFont="1" applyBorder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76" fontId="4" fillId="0" borderId="1" xfId="0" applyNumberFormat="1" applyFont="1" applyBorder="1"/>
    <xf numFmtId="0" fontId="4" fillId="4" borderId="1" xfId="0" applyFont="1" applyFill="1" applyBorder="1"/>
    <xf numFmtId="177" fontId="4" fillId="4" borderId="1" xfId="0" applyNumberFormat="1" applyFont="1" applyFill="1" applyBorder="1"/>
    <xf numFmtId="176" fontId="4" fillId="4" borderId="1" xfId="0" applyNumberFormat="1" applyFont="1" applyFill="1" applyBorder="1"/>
    <xf numFmtId="0" fontId="3" fillId="0" borderId="0" xfId="0" applyFont="1"/>
    <xf numFmtId="177" fontId="3" fillId="0" borderId="0" xfId="0" applyNumberFormat="1" applyFont="1"/>
    <xf numFmtId="0" fontId="6" fillId="0" borderId="0" xfId="0" applyFont="1"/>
    <xf numFmtId="177" fontId="6" fillId="0" borderId="0" xfId="0" applyNumberFormat="1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F6B3A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9C4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DE7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showGridLines="0" tabSelected="1" workbookViewId="0">
      <selection activeCell="A1" sqref="A1:B1"/>
    </sheetView>
  </sheetViews>
  <sheetFormatPr defaultColWidth="8.68181818181818" defaultRowHeight="14.5" outlineLevelCol="1"/>
  <cols>
    <col min="1" max="1" width="34" customWidth="1"/>
    <col min="2" max="2" width="100" customWidth="1"/>
  </cols>
  <sheetData>
    <row r="1" ht="24" customHeight="1" spans="1:2">
      <c r="A1" s="1" t="s">
        <v>0</v>
      </c>
      <c r="B1" s="1"/>
    </row>
    <row r="2" spans="1:2">
      <c r="A2" s="2" t="s">
        <v>1</v>
      </c>
      <c r="B2" s="2"/>
    </row>
    <row r="4" ht="33.75" customHeight="1" spans="1:2">
      <c r="A4" s="18" t="s">
        <v>2</v>
      </c>
      <c r="B4" s="19" t="s">
        <v>3</v>
      </c>
    </row>
    <row r="5" ht="33.75" customHeight="1" spans="1:2">
      <c r="A5" s="18" t="s">
        <v>4</v>
      </c>
      <c r="B5" s="19" t="s">
        <v>5</v>
      </c>
    </row>
    <row r="6" ht="33.75" customHeight="1" spans="1:2">
      <c r="A6" s="18" t="s">
        <v>6</v>
      </c>
      <c r="B6" s="19" t="s">
        <v>7</v>
      </c>
    </row>
    <row r="7" ht="33.75" customHeight="1" spans="1:2">
      <c r="A7" s="18" t="s">
        <v>8</v>
      </c>
      <c r="B7" s="19" t="s">
        <v>9</v>
      </c>
    </row>
    <row r="8" ht="33.75" customHeight="1" spans="1:2">
      <c r="A8" s="18" t="s">
        <v>10</v>
      </c>
      <c r="B8" s="19" t="s">
        <v>11</v>
      </c>
    </row>
    <row r="9" ht="33.75" customHeight="1" spans="1:2">
      <c r="A9" s="18" t="s">
        <v>12</v>
      </c>
      <c r="B9" s="19" t="s">
        <v>13</v>
      </c>
    </row>
    <row r="10" ht="33.75" customHeight="1" spans="1:2">
      <c r="A10" s="18" t="s">
        <v>14</v>
      </c>
      <c r="B10" s="19" t="s">
        <v>15</v>
      </c>
    </row>
    <row r="11" ht="33.75" customHeight="1" spans="1:2">
      <c r="A11" s="18" t="s">
        <v>16</v>
      </c>
      <c r="B11" s="19" t="s">
        <v>17</v>
      </c>
    </row>
    <row r="12" ht="33.75" customHeight="1" spans="1:2">
      <c r="A12" s="18" t="s">
        <v>18</v>
      </c>
      <c r="B12" s="19" t="s">
        <v>19</v>
      </c>
    </row>
    <row r="13" ht="33.75" customHeight="1" spans="1:2">
      <c r="A13" s="18" t="s">
        <v>20</v>
      </c>
      <c r="B13" s="19" t="s">
        <v>21</v>
      </c>
    </row>
    <row r="14" ht="33.75" customHeight="1" spans="1:2">
      <c r="A14" s="18" t="s">
        <v>22</v>
      </c>
      <c r="B14" s="19" t="s">
        <v>23</v>
      </c>
    </row>
    <row r="15" ht="33.75" customHeight="1" spans="1:2">
      <c r="A15" s="18" t="s">
        <v>24</v>
      </c>
      <c r="B15" s="19" t="s">
        <v>25</v>
      </c>
    </row>
    <row r="16" ht="33.75" customHeight="1" spans="1:2">
      <c r="A16" s="18" t="s">
        <v>26</v>
      </c>
      <c r="B16" s="19" t="s">
        <v>27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showGridLines="0" workbookViewId="0">
      <pane ySplit="5" topLeftCell="A6" activePane="bottomLeft" state="frozen"/>
      <selection/>
      <selection pane="bottomLeft" activeCell="A6" sqref="A6:E6"/>
    </sheetView>
  </sheetViews>
  <sheetFormatPr defaultColWidth="8.68181818181818" defaultRowHeight="14.5" outlineLevelCol="5"/>
  <cols>
    <col min="1" max="1" width="13" customWidth="1"/>
    <col min="2" max="2" width="34" customWidth="1"/>
    <col min="3" max="6" width="16" customWidth="1"/>
  </cols>
  <sheetData>
    <row r="1" ht="24" customHeight="1" spans="1:6">
      <c r="A1" s="1" t="s">
        <v>8</v>
      </c>
      <c r="B1" s="1"/>
      <c r="C1" s="1"/>
      <c r="D1" s="1"/>
      <c r="E1" s="1"/>
      <c r="F1" s="1"/>
    </row>
    <row r="2" spans="1:6">
      <c r="A2" s="2" t="s">
        <v>28</v>
      </c>
      <c r="B2" s="2"/>
      <c r="C2" s="2"/>
      <c r="D2" s="2"/>
      <c r="E2" s="2"/>
      <c r="F2" s="2"/>
    </row>
    <row r="4" spans="1:6">
      <c r="A4" s="8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</row>
    <row r="5" spans="1:6">
      <c r="A5" s="16" t="s">
        <v>35</v>
      </c>
      <c r="F5" s="17">
        <v>250000</v>
      </c>
    </row>
    <row r="6" spans="1:6">
      <c r="A6" s="10">
        <v>46027</v>
      </c>
      <c r="B6" s="9" t="s">
        <v>36</v>
      </c>
      <c r="C6" s="9" t="s">
        <v>37</v>
      </c>
      <c r="D6" s="6">
        <v>85000</v>
      </c>
      <c r="E6" s="6">
        <v>0</v>
      </c>
      <c r="F6" s="6">
        <f t="shared" ref="F6:F40" si="0">F5+D6-E6</f>
        <v>335000</v>
      </c>
    </row>
    <row r="7" spans="1:6">
      <c r="A7" s="13"/>
      <c r="B7" s="11"/>
      <c r="C7" s="11"/>
      <c r="D7" s="12"/>
      <c r="E7" s="12"/>
      <c r="F7" s="6">
        <f t="shared" si="0"/>
        <v>335000</v>
      </c>
    </row>
    <row r="8" spans="1:6">
      <c r="A8" s="13"/>
      <c r="B8" s="11"/>
      <c r="C8" s="11"/>
      <c r="D8" s="12"/>
      <c r="E8" s="12"/>
      <c r="F8" s="6">
        <f t="shared" si="0"/>
        <v>335000</v>
      </c>
    </row>
    <row r="9" spans="1:6">
      <c r="A9" s="13"/>
      <c r="B9" s="11"/>
      <c r="C9" s="11"/>
      <c r="D9" s="12"/>
      <c r="E9" s="12"/>
      <c r="F9" s="6">
        <f t="shared" si="0"/>
        <v>335000</v>
      </c>
    </row>
    <row r="10" spans="1:6">
      <c r="A10" s="13"/>
      <c r="B10" s="11"/>
      <c r="C10" s="11"/>
      <c r="D10" s="12"/>
      <c r="E10" s="12"/>
      <c r="F10" s="6">
        <f t="shared" si="0"/>
        <v>335000</v>
      </c>
    </row>
    <row r="11" spans="1:6">
      <c r="A11" s="13"/>
      <c r="B11" s="11"/>
      <c r="C11" s="11"/>
      <c r="D11" s="12"/>
      <c r="E11" s="12"/>
      <c r="F11" s="6">
        <f t="shared" si="0"/>
        <v>335000</v>
      </c>
    </row>
    <row r="12" spans="1:6">
      <c r="A12" s="13"/>
      <c r="B12" s="11"/>
      <c r="C12" s="11"/>
      <c r="D12" s="12"/>
      <c r="E12" s="12"/>
      <c r="F12" s="6">
        <f t="shared" si="0"/>
        <v>335000</v>
      </c>
    </row>
    <row r="13" spans="1:6">
      <c r="A13" s="13"/>
      <c r="B13" s="11"/>
      <c r="C13" s="11"/>
      <c r="D13" s="12"/>
      <c r="E13" s="12"/>
      <c r="F13" s="6">
        <f t="shared" si="0"/>
        <v>335000</v>
      </c>
    </row>
    <row r="14" spans="1:6">
      <c r="A14" s="13"/>
      <c r="B14" s="11"/>
      <c r="C14" s="11"/>
      <c r="D14" s="12"/>
      <c r="E14" s="12"/>
      <c r="F14" s="6">
        <f t="shared" si="0"/>
        <v>335000</v>
      </c>
    </row>
    <row r="15" spans="1:6">
      <c r="A15" s="13"/>
      <c r="B15" s="11"/>
      <c r="C15" s="11"/>
      <c r="D15" s="12"/>
      <c r="E15" s="12"/>
      <c r="F15" s="6">
        <f t="shared" si="0"/>
        <v>335000</v>
      </c>
    </row>
    <row r="16" spans="1:6">
      <c r="A16" s="13"/>
      <c r="B16" s="11"/>
      <c r="C16" s="11"/>
      <c r="D16" s="12"/>
      <c r="E16" s="12"/>
      <c r="F16" s="6">
        <f t="shared" si="0"/>
        <v>335000</v>
      </c>
    </row>
    <row r="17" spans="1:6">
      <c r="A17" s="13"/>
      <c r="B17" s="11"/>
      <c r="C17" s="11"/>
      <c r="D17" s="12"/>
      <c r="E17" s="12"/>
      <c r="F17" s="6">
        <f t="shared" si="0"/>
        <v>335000</v>
      </c>
    </row>
    <row r="18" spans="1:6">
      <c r="A18" s="13"/>
      <c r="B18" s="11"/>
      <c r="C18" s="11"/>
      <c r="D18" s="12"/>
      <c r="E18" s="12"/>
      <c r="F18" s="6">
        <f t="shared" si="0"/>
        <v>335000</v>
      </c>
    </row>
    <row r="19" spans="1:6">
      <c r="A19" s="13"/>
      <c r="B19" s="11"/>
      <c r="C19" s="11"/>
      <c r="D19" s="12"/>
      <c r="E19" s="12"/>
      <c r="F19" s="6">
        <f t="shared" si="0"/>
        <v>335000</v>
      </c>
    </row>
    <row r="20" spans="1:6">
      <c r="A20" s="13"/>
      <c r="B20" s="11"/>
      <c r="C20" s="11"/>
      <c r="D20" s="12"/>
      <c r="E20" s="12"/>
      <c r="F20" s="6">
        <f t="shared" si="0"/>
        <v>335000</v>
      </c>
    </row>
    <row r="21" spans="1:6">
      <c r="A21" s="13"/>
      <c r="B21" s="11"/>
      <c r="C21" s="11"/>
      <c r="D21" s="12"/>
      <c r="E21" s="12"/>
      <c r="F21" s="6">
        <f t="shared" si="0"/>
        <v>335000</v>
      </c>
    </row>
    <row r="22" spans="1:6">
      <c r="A22" s="13"/>
      <c r="B22" s="11"/>
      <c r="C22" s="11"/>
      <c r="D22" s="12"/>
      <c r="E22" s="12"/>
      <c r="F22" s="6">
        <f t="shared" si="0"/>
        <v>335000</v>
      </c>
    </row>
    <row r="23" spans="1:6">
      <c r="A23" s="13"/>
      <c r="B23" s="11"/>
      <c r="C23" s="11"/>
      <c r="D23" s="12"/>
      <c r="E23" s="12"/>
      <c r="F23" s="6">
        <f t="shared" si="0"/>
        <v>335000</v>
      </c>
    </row>
    <row r="24" spans="1:6">
      <c r="A24" s="13"/>
      <c r="B24" s="11"/>
      <c r="C24" s="11"/>
      <c r="D24" s="12"/>
      <c r="E24" s="12"/>
      <c r="F24" s="6">
        <f t="shared" si="0"/>
        <v>335000</v>
      </c>
    </row>
    <row r="25" spans="1:6">
      <c r="A25" s="13"/>
      <c r="B25" s="11"/>
      <c r="C25" s="11"/>
      <c r="D25" s="12"/>
      <c r="E25" s="12"/>
      <c r="F25" s="6">
        <f t="shared" si="0"/>
        <v>335000</v>
      </c>
    </row>
    <row r="26" spans="1:6">
      <c r="A26" s="13"/>
      <c r="B26" s="11"/>
      <c r="C26" s="11"/>
      <c r="D26" s="12"/>
      <c r="E26" s="12"/>
      <c r="F26" s="6">
        <f t="shared" si="0"/>
        <v>335000</v>
      </c>
    </row>
    <row r="27" spans="1:6">
      <c r="A27" s="13"/>
      <c r="B27" s="11"/>
      <c r="C27" s="11"/>
      <c r="D27" s="12"/>
      <c r="E27" s="12"/>
      <c r="F27" s="6">
        <f t="shared" si="0"/>
        <v>335000</v>
      </c>
    </row>
    <row r="28" spans="1:6">
      <c r="A28" s="13"/>
      <c r="B28" s="11"/>
      <c r="C28" s="11"/>
      <c r="D28" s="12"/>
      <c r="E28" s="12"/>
      <c r="F28" s="6">
        <f t="shared" si="0"/>
        <v>335000</v>
      </c>
    </row>
    <row r="29" spans="1:6">
      <c r="A29" s="13"/>
      <c r="B29" s="11"/>
      <c r="C29" s="11"/>
      <c r="D29" s="12"/>
      <c r="E29" s="12"/>
      <c r="F29" s="6">
        <f t="shared" si="0"/>
        <v>335000</v>
      </c>
    </row>
    <row r="30" spans="1:6">
      <c r="A30" s="13"/>
      <c r="B30" s="11"/>
      <c r="C30" s="11"/>
      <c r="D30" s="12"/>
      <c r="E30" s="12"/>
      <c r="F30" s="6">
        <f t="shared" si="0"/>
        <v>335000</v>
      </c>
    </row>
    <row r="31" spans="1:6">
      <c r="A31" s="13"/>
      <c r="B31" s="11"/>
      <c r="C31" s="11"/>
      <c r="D31" s="12"/>
      <c r="E31" s="12"/>
      <c r="F31" s="6">
        <f t="shared" si="0"/>
        <v>335000</v>
      </c>
    </row>
    <row r="32" spans="1:6">
      <c r="A32" s="13"/>
      <c r="B32" s="11"/>
      <c r="C32" s="11"/>
      <c r="D32" s="12"/>
      <c r="E32" s="12"/>
      <c r="F32" s="6">
        <f t="shared" si="0"/>
        <v>335000</v>
      </c>
    </row>
    <row r="33" spans="1:6">
      <c r="A33" s="13"/>
      <c r="B33" s="11"/>
      <c r="C33" s="11"/>
      <c r="D33" s="12"/>
      <c r="E33" s="12"/>
      <c r="F33" s="6">
        <f t="shared" si="0"/>
        <v>335000</v>
      </c>
    </row>
    <row r="34" spans="1:6">
      <c r="A34" s="13"/>
      <c r="B34" s="11"/>
      <c r="C34" s="11"/>
      <c r="D34" s="12"/>
      <c r="E34" s="12"/>
      <c r="F34" s="6">
        <f t="shared" si="0"/>
        <v>335000</v>
      </c>
    </row>
    <row r="35" spans="1:6">
      <c r="A35" s="13"/>
      <c r="B35" s="11"/>
      <c r="C35" s="11"/>
      <c r="D35" s="12"/>
      <c r="E35" s="12"/>
      <c r="F35" s="6">
        <f t="shared" si="0"/>
        <v>335000</v>
      </c>
    </row>
    <row r="36" spans="1:6">
      <c r="A36" s="13"/>
      <c r="B36" s="11"/>
      <c r="C36" s="11"/>
      <c r="D36" s="12"/>
      <c r="E36" s="12"/>
      <c r="F36" s="6">
        <f t="shared" si="0"/>
        <v>335000</v>
      </c>
    </row>
    <row r="37" spans="1:6">
      <c r="A37" s="13"/>
      <c r="B37" s="11"/>
      <c r="C37" s="11"/>
      <c r="D37" s="12"/>
      <c r="E37" s="12"/>
      <c r="F37" s="6">
        <f t="shared" si="0"/>
        <v>335000</v>
      </c>
    </row>
    <row r="38" spans="1:6">
      <c r="A38" s="13"/>
      <c r="B38" s="11"/>
      <c r="C38" s="11"/>
      <c r="D38" s="12"/>
      <c r="E38" s="12"/>
      <c r="F38" s="6">
        <f t="shared" si="0"/>
        <v>335000</v>
      </c>
    </row>
    <row r="39" spans="1:6">
      <c r="A39" s="13"/>
      <c r="B39" s="11"/>
      <c r="C39" s="11"/>
      <c r="D39" s="12"/>
      <c r="E39" s="12"/>
      <c r="F39" s="6">
        <f t="shared" si="0"/>
        <v>335000</v>
      </c>
    </row>
    <row r="40" spans="1:6">
      <c r="A40" s="13"/>
      <c r="B40" s="11"/>
      <c r="C40" s="11"/>
      <c r="D40" s="12"/>
      <c r="E40" s="12"/>
      <c r="F40" s="6">
        <f t="shared" si="0"/>
        <v>335000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showGridLines="0" workbookViewId="0">
      <pane ySplit="4" topLeftCell="A5" activePane="bottomLeft" state="frozen"/>
      <selection/>
      <selection pane="bottomLeft" activeCell="A1" sqref="A1:G1"/>
    </sheetView>
  </sheetViews>
  <sheetFormatPr defaultColWidth="8.68181818181818" defaultRowHeight="14.5" outlineLevelCol="6"/>
  <cols>
    <col min="1" max="1" width="13" customWidth="1"/>
    <col min="2" max="2" width="26" customWidth="1"/>
    <col min="3" max="3" width="22" customWidth="1"/>
    <col min="4" max="4" width="12" customWidth="1"/>
    <col min="5" max="5" width="15" customWidth="1"/>
    <col min="6" max="7" width="16" customWidth="1"/>
  </cols>
  <sheetData>
    <row r="1" ht="24" customHeight="1" spans="1:7">
      <c r="A1" s="1" t="s">
        <v>10</v>
      </c>
      <c r="B1" s="1"/>
      <c r="C1" s="1"/>
      <c r="D1" s="1"/>
      <c r="E1" s="1"/>
      <c r="F1" s="1"/>
      <c r="G1" s="1"/>
    </row>
    <row r="2" spans="1:7">
      <c r="A2" s="2" t="s">
        <v>38</v>
      </c>
      <c r="B2" s="2"/>
      <c r="C2" s="2"/>
      <c r="D2" s="2"/>
      <c r="E2" s="2"/>
      <c r="F2" s="2"/>
      <c r="G2" s="2"/>
    </row>
    <row r="4" spans="1:7">
      <c r="A4" s="8" t="s">
        <v>29</v>
      </c>
      <c r="B4" s="8" t="s">
        <v>39</v>
      </c>
      <c r="C4" s="8" t="s">
        <v>40</v>
      </c>
      <c r="D4" s="8" t="s">
        <v>41</v>
      </c>
      <c r="E4" s="8" t="s">
        <v>42</v>
      </c>
      <c r="F4" s="8" t="s">
        <v>43</v>
      </c>
      <c r="G4" s="8" t="s">
        <v>44</v>
      </c>
    </row>
    <row r="5" spans="1:7">
      <c r="A5" s="10">
        <v>46027</v>
      </c>
      <c r="B5" s="9" t="s">
        <v>45</v>
      </c>
      <c r="C5" s="9" t="s">
        <v>46</v>
      </c>
      <c r="D5" s="9">
        <v>17</v>
      </c>
      <c r="E5" s="6">
        <v>5000</v>
      </c>
      <c r="F5" s="6">
        <f t="shared" ref="F5:F45" si="0">D5*E5</f>
        <v>85000</v>
      </c>
      <c r="G5" s="9" t="s">
        <v>47</v>
      </c>
    </row>
    <row r="6" spans="1:7">
      <c r="A6" s="13"/>
      <c r="B6" s="11"/>
      <c r="C6" s="11"/>
      <c r="D6" s="11"/>
      <c r="E6" s="12"/>
      <c r="F6" s="6">
        <f t="shared" si="0"/>
        <v>0</v>
      </c>
      <c r="G6" s="11"/>
    </row>
    <row r="7" spans="1:7">
      <c r="A7" s="13"/>
      <c r="B7" s="11"/>
      <c r="C7" s="11"/>
      <c r="D7" s="11"/>
      <c r="E7" s="12"/>
      <c r="F7" s="6">
        <f t="shared" si="0"/>
        <v>0</v>
      </c>
      <c r="G7" s="11"/>
    </row>
    <row r="8" spans="1:7">
      <c r="A8" s="13"/>
      <c r="B8" s="11"/>
      <c r="C8" s="11"/>
      <c r="D8" s="11"/>
      <c r="E8" s="12"/>
      <c r="F8" s="6">
        <f t="shared" si="0"/>
        <v>0</v>
      </c>
      <c r="G8" s="11"/>
    </row>
    <row r="9" spans="1:7">
      <c r="A9" s="13"/>
      <c r="B9" s="11"/>
      <c r="C9" s="11"/>
      <c r="D9" s="11"/>
      <c r="E9" s="12"/>
      <c r="F9" s="6">
        <f t="shared" si="0"/>
        <v>0</v>
      </c>
      <c r="G9" s="11"/>
    </row>
    <row r="10" spans="1:7">
      <c r="A10" s="13"/>
      <c r="B10" s="11"/>
      <c r="C10" s="11"/>
      <c r="D10" s="11"/>
      <c r="E10" s="12"/>
      <c r="F10" s="6">
        <f t="shared" si="0"/>
        <v>0</v>
      </c>
      <c r="G10" s="11"/>
    </row>
    <row r="11" spans="1:7">
      <c r="A11" s="13"/>
      <c r="B11" s="11"/>
      <c r="C11" s="11"/>
      <c r="D11" s="11"/>
      <c r="E11" s="12"/>
      <c r="F11" s="6">
        <f t="shared" si="0"/>
        <v>0</v>
      </c>
      <c r="G11" s="11"/>
    </row>
    <row r="12" spans="1:7">
      <c r="A12" s="13"/>
      <c r="B12" s="11"/>
      <c r="C12" s="11"/>
      <c r="D12" s="11"/>
      <c r="E12" s="12"/>
      <c r="F12" s="6">
        <f t="shared" si="0"/>
        <v>0</v>
      </c>
      <c r="G12" s="11"/>
    </row>
    <row r="13" spans="1:7">
      <c r="A13" s="13"/>
      <c r="B13" s="11"/>
      <c r="C13" s="11"/>
      <c r="D13" s="11"/>
      <c r="E13" s="12"/>
      <c r="F13" s="6">
        <f t="shared" si="0"/>
        <v>0</v>
      </c>
      <c r="G13" s="11"/>
    </row>
    <row r="14" spans="1:7">
      <c r="A14" s="13"/>
      <c r="B14" s="11"/>
      <c r="C14" s="11"/>
      <c r="D14" s="11"/>
      <c r="E14" s="12"/>
      <c r="F14" s="6">
        <f t="shared" si="0"/>
        <v>0</v>
      </c>
      <c r="G14" s="11"/>
    </row>
    <row r="15" spans="1:7">
      <c r="A15" s="13"/>
      <c r="B15" s="11"/>
      <c r="C15" s="11"/>
      <c r="D15" s="11"/>
      <c r="E15" s="12"/>
      <c r="F15" s="6">
        <f t="shared" si="0"/>
        <v>0</v>
      </c>
      <c r="G15" s="11"/>
    </row>
    <row r="16" spans="1:7">
      <c r="A16" s="13"/>
      <c r="B16" s="11"/>
      <c r="C16" s="11"/>
      <c r="D16" s="11"/>
      <c r="E16" s="12"/>
      <c r="F16" s="6">
        <f t="shared" si="0"/>
        <v>0</v>
      </c>
      <c r="G16" s="11"/>
    </row>
    <row r="17" spans="1:7">
      <c r="A17" s="13"/>
      <c r="B17" s="11"/>
      <c r="C17" s="11"/>
      <c r="D17" s="11"/>
      <c r="E17" s="12"/>
      <c r="F17" s="6">
        <f t="shared" si="0"/>
        <v>0</v>
      </c>
      <c r="G17" s="11"/>
    </row>
    <row r="18" spans="1:7">
      <c r="A18" s="13"/>
      <c r="B18" s="11"/>
      <c r="C18" s="11"/>
      <c r="D18" s="11"/>
      <c r="E18" s="12"/>
      <c r="F18" s="6">
        <f t="shared" si="0"/>
        <v>0</v>
      </c>
      <c r="G18" s="11"/>
    </row>
    <row r="19" spans="1:7">
      <c r="A19" s="13"/>
      <c r="B19" s="11"/>
      <c r="C19" s="11"/>
      <c r="D19" s="11"/>
      <c r="E19" s="12"/>
      <c r="F19" s="6">
        <f t="shared" si="0"/>
        <v>0</v>
      </c>
      <c r="G19" s="11"/>
    </row>
    <row r="20" spans="1:7">
      <c r="A20" s="13"/>
      <c r="B20" s="11"/>
      <c r="C20" s="11"/>
      <c r="D20" s="11"/>
      <c r="E20" s="12"/>
      <c r="F20" s="6">
        <f t="shared" si="0"/>
        <v>0</v>
      </c>
      <c r="G20" s="11"/>
    </row>
    <row r="21" spans="1:7">
      <c r="A21" s="13"/>
      <c r="B21" s="11"/>
      <c r="C21" s="11"/>
      <c r="D21" s="11"/>
      <c r="E21" s="12"/>
      <c r="F21" s="6">
        <f t="shared" si="0"/>
        <v>0</v>
      </c>
      <c r="G21" s="11"/>
    </row>
    <row r="22" spans="1:7">
      <c r="A22" s="13"/>
      <c r="B22" s="11"/>
      <c r="C22" s="11"/>
      <c r="D22" s="11"/>
      <c r="E22" s="12"/>
      <c r="F22" s="6">
        <f t="shared" si="0"/>
        <v>0</v>
      </c>
      <c r="G22" s="11"/>
    </row>
    <row r="23" spans="1:7">
      <c r="A23" s="13"/>
      <c r="B23" s="11"/>
      <c r="C23" s="11"/>
      <c r="D23" s="11"/>
      <c r="E23" s="12"/>
      <c r="F23" s="6">
        <f t="shared" si="0"/>
        <v>0</v>
      </c>
      <c r="G23" s="11"/>
    </row>
    <row r="24" spans="1:7">
      <c r="A24" s="13"/>
      <c r="B24" s="11"/>
      <c r="C24" s="11"/>
      <c r="D24" s="11"/>
      <c r="E24" s="12"/>
      <c r="F24" s="6">
        <f t="shared" si="0"/>
        <v>0</v>
      </c>
      <c r="G24" s="11"/>
    </row>
    <row r="25" spans="1:7">
      <c r="A25" s="13"/>
      <c r="B25" s="11"/>
      <c r="C25" s="11"/>
      <c r="D25" s="11"/>
      <c r="E25" s="12"/>
      <c r="F25" s="6">
        <f t="shared" si="0"/>
        <v>0</v>
      </c>
      <c r="G25" s="11"/>
    </row>
    <row r="26" spans="1:7">
      <c r="A26" s="13"/>
      <c r="B26" s="11"/>
      <c r="C26" s="11"/>
      <c r="D26" s="11"/>
      <c r="E26" s="12"/>
      <c r="F26" s="6">
        <f t="shared" si="0"/>
        <v>0</v>
      </c>
      <c r="G26" s="11"/>
    </row>
    <row r="27" spans="1:7">
      <c r="A27" s="13"/>
      <c r="B27" s="11"/>
      <c r="C27" s="11"/>
      <c r="D27" s="11"/>
      <c r="E27" s="12"/>
      <c r="F27" s="6">
        <f t="shared" si="0"/>
        <v>0</v>
      </c>
      <c r="G27" s="11"/>
    </row>
    <row r="28" spans="1:7">
      <c r="A28" s="13"/>
      <c r="B28" s="11"/>
      <c r="C28" s="11"/>
      <c r="D28" s="11"/>
      <c r="E28" s="12"/>
      <c r="F28" s="6">
        <f t="shared" si="0"/>
        <v>0</v>
      </c>
      <c r="G28" s="11"/>
    </row>
    <row r="29" spans="1:7">
      <c r="A29" s="13"/>
      <c r="B29" s="11"/>
      <c r="C29" s="11"/>
      <c r="D29" s="11"/>
      <c r="E29" s="12"/>
      <c r="F29" s="6">
        <f t="shared" si="0"/>
        <v>0</v>
      </c>
      <c r="G29" s="11"/>
    </row>
    <row r="30" spans="1:7">
      <c r="A30" s="13"/>
      <c r="B30" s="11"/>
      <c r="C30" s="11"/>
      <c r="D30" s="11"/>
      <c r="E30" s="12"/>
      <c r="F30" s="6">
        <f t="shared" si="0"/>
        <v>0</v>
      </c>
      <c r="G30" s="11"/>
    </row>
    <row r="31" spans="1:7">
      <c r="A31" s="13"/>
      <c r="B31" s="11"/>
      <c r="C31" s="11"/>
      <c r="D31" s="11"/>
      <c r="E31" s="12"/>
      <c r="F31" s="6">
        <f t="shared" si="0"/>
        <v>0</v>
      </c>
      <c r="G31" s="11"/>
    </row>
    <row r="32" spans="1:7">
      <c r="A32" s="13"/>
      <c r="B32" s="11"/>
      <c r="C32" s="11"/>
      <c r="D32" s="11"/>
      <c r="E32" s="12"/>
      <c r="F32" s="6">
        <f t="shared" si="0"/>
        <v>0</v>
      </c>
      <c r="G32" s="11"/>
    </row>
    <row r="33" spans="1:7">
      <c r="A33" s="13"/>
      <c r="B33" s="11"/>
      <c r="C33" s="11"/>
      <c r="D33" s="11"/>
      <c r="E33" s="12"/>
      <c r="F33" s="6">
        <f t="shared" si="0"/>
        <v>0</v>
      </c>
      <c r="G33" s="11"/>
    </row>
    <row r="34" spans="1:7">
      <c r="A34" s="13"/>
      <c r="B34" s="11"/>
      <c r="C34" s="11"/>
      <c r="D34" s="11"/>
      <c r="E34" s="12"/>
      <c r="F34" s="6">
        <f t="shared" si="0"/>
        <v>0</v>
      </c>
      <c r="G34" s="11"/>
    </row>
    <row r="35" spans="1:7">
      <c r="A35" s="13"/>
      <c r="B35" s="11"/>
      <c r="C35" s="11"/>
      <c r="D35" s="11"/>
      <c r="E35" s="12"/>
      <c r="F35" s="6">
        <f t="shared" si="0"/>
        <v>0</v>
      </c>
      <c r="G35" s="11"/>
    </row>
    <row r="36" spans="1:7">
      <c r="A36" s="13"/>
      <c r="B36" s="11"/>
      <c r="C36" s="11"/>
      <c r="D36" s="11"/>
      <c r="E36" s="12"/>
      <c r="F36" s="6">
        <f t="shared" si="0"/>
        <v>0</v>
      </c>
      <c r="G36" s="11"/>
    </row>
    <row r="37" spans="1:7">
      <c r="A37" s="13"/>
      <c r="B37" s="11"/>
      <c r="C37" s="11"/>
      <c r="D37" s="11"/>
      <c r="E37" s="12"/>
      <c r="F37" s="6">
        <f t="shared" si="0"/>
        <v>0</v>
      </c>
      <c r="G37" s="11"/>
    </row>
    <row r="38" spans="1:7">
      <c r="A38" s="13"/>
      <c r="B38" s="11"/>
      <c r="C38" s="11"/>
      <c r="D38" s="11"/>
      <c r="E38" s="12"/>
      <c r="F38" s="6">
        <f t="shared" si="0"/>
        <v>0</v>
      </c>
      <c r="G38" s="11"/>
    </row>
    <row r="39" spans="1:7">
      <c r="A39" s="13"/>
      <c r="B39" s="11"/>
      <c r="C39" s="11"/>
      <c r="D39" s="11"/>
      <c r="E39" s="12"/>
      <c r="F39" s="6">
        <f t="shared" si="0"/>
        <v>0</v>
      </c>
      <c r="G39" s="11"/>
    </row>
    <row r="40" spans="1:7">
      <c r="A40" s="13"/>
      <c r="B40" s="11"/>
      <c r="C40" s="11"/>
      <c r="D40" s="11"/>
      <c r="E40" s="12"/>
      <c r="F40" s="6">
        <f t="shared" si="0"/>
        <v>0</v>
      </c>
      <c r="G40" s="11"/>
    </row>
    <row r="41" spans="1:7">
      <c r="A41" s="13"/>
      <c r="B41" s="11"/>
      <c r="C41" s="11"/>
      <c r="D41" s="11"/>
      <c r="E41" s="12"/>
      <c r="F41" s="6">
        <f t="shared" si="0"/>
        <v>0</v>
      </c>
      <c r="G41" s="11"/>
    </row>
    <row r="42" spans="1:7">
      <c r="A42" s="13"/>
      <c r="B42" s="11"/>
      <c r="C42" s="11"/>
      <c r="D42" s="11"/>
      <c r="E42" s="12"/>
      <c r="F42" s="6">
        <f t="shared" si="0"/>
        <v>0</v>
      </c>
      <c r="G42" s="11"/>
    </row>
    <row r="43" spans="1:7">
      <c r="A43" s="13"/>
      <c r="B43" s="11"/>
      <c r="C43" s="11"/>
      <c r="D43" s="11"/>
      <c r="E43" s="12"/>
      <c r="F43" s="6">
        <f t="shared" si="0"/>
        <v>0</v>
      </c>
      <c r="G43" s="11"/>
    </row>
    <row r="44" spans="1:7">
      <c r="A44" s="13"/>
      <c r="B44" s="11"/>
      <c r="C44" s="11"/>
      <c r="D44" s="11"/>
      <c r="E44" s="12"/>
      <c r="F44" s="6">
        <f t="shared" si="0"/>
        <v>0</v>
      </c>
      <c r="G44" s="11"/>
    </row>
    <row r="45" spans="1:7">
      <c r="A45" s="13"/>
      <c r="B45" s="11"/>
      <c r="C45" s="11"/>
      <c r="D45" s="11"/>
      <c r="E45" s="12"/>
      <c r="F45" s="6">
        <f t="shared" si="0"/>
        <v>0</v>
      </c>
      <c r="G45" s="11"/>
    </row>
    <row r="47" spans="5:6">
      <c r="E47" s="14" t="s">
        <v>48</v>
      </c>
      <c r="F47" s="15">
        <f>SUM(F5:F45)</f>
        <v>85000</v>
      </c>
    </row>
  </sheetData>
  <mergeCells count="2">
    <mergeCell ref="A1:G1"/>
    <mergeCell ref="A2:G2"/>
  </mergeCells>
  <dataValidations count="1">
    <dataValidation type="list" allowBlank="1" sqref="G6:G45">
      <formula1>"Cash,Credit,Bank Transfer,Mobile Money"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showGridLines="0" workbookViewId="0">
      <pane ySplit="4" topLeftCell="A5" activePane="bottomLeft" state="frozen"/>
      <selection/>
      <selection pane="bottomLeft" activeCell="A1" sqref="A1:G1"/>
    </sheetView>
  </sheetViews>
  <sheetFormatPr defaultColWidth="8.68181818181818" defaultRowHeight="14.5" outlineLevelCol="6"/>
  <cols>
    <col min="1" max="1" width="13" customWidth="1"/>
    <col min="2" max="2" width="26" customWidth="1"/>
    <col min="3" max="3" width="22" customWidth="1"/>
    <col min="4" max="4" width="12" customWidth="1"/>
    <col min="5" max="5" width="15" customWidth="1"/>
    <col min="6" max="7" width="16" customWidth="1"/>
  </cols>
  <sheetData>
    <row r="1" ht="24" customHeight="1" spans="1:7">
      <c r="A1" s="1" t="s">
        <v>12</v>
      </c>
      <c r="B1" s="1"/>
      <c r="C1" s="1"/>
      <c r="D1" s="1"/>
      <c r="E1" s="1"/>
      <c r="F1" s="1"/>
      <c r="G1" s="1"/>
    </row>
    <row r="2" spans="1:7">
      <c r="A2" s="2" t="s">
        <v>49</v>
      </c>
      <c r="B2" s="2"/>
      <c r="C2" s="2"/>
      <c r="D2" s="2"/>
      <c r="E2" s="2"/>
      <c r="F2" s="2"/>
      <c r="G2" s="2"/>
    </row>
    <row r="4" spans="1:7">
      <c r="A4" s="8" t="s">
        <v>29</v>
      </c>
      <c r="B4" s="8" t="s">
        <v>50</v>
      </c>
      <c r="C4" s="8" t="s">
        <v>51</v>
      </c>
      <c r="D4" s="8" t="s">
        <v>41</v>
      </c>
      <c r="E4" s="8" t="s">
        <v>52</v>
      </c>
      <c r="F4" s="8" t="s">
        <v>43</v>
      </c>
      <c r="G4" s="8" t="s">
        <v>44</v>
      </c>
    </row>
    <row r="5" spans="1:7">
      <c r="A5" s="10">
        <v>46025</v>
      </c>
      <c r="B5" s="9" t="s">
        <v>53</v>
      </c>
      <c r="C5" s="9" t="s">
        <v>54</v>
      </c>
      <c r="D5" s="9">
        <v>20</v>
      </c>
      <c r="E5" s="6">
        <v>12000</v>
      </c>
      <c r="F5" s="6">
        <f t="shared" ref="F5:F45" si="0">D5*E5</f>
        <v>240000</v>
      </c>
      <c r="G5" s="9" t="s">
        <v>55</v>
      </c>
    </row>
    <row r="6" spans="1:7">
      <c r="A6" s="13"/>
      <c r="B6" s="11"/>
      <c r="C6" s="11"/>
      <c r="D6" s="11"/>
      <c r="E6" s="12"/>
      <c r="F6" s="6">
        <f t="shared" si="0"/>
        <v>0</v>
      </c>
      <c r="G6" s="11"/>
    </row>
    <row r="7" spans="1:7">
      <c r="A7" s="13"/>
      <c r="B7" s="11"/>
      <c r="C7" s="11"/>
      <c r="D7" s="11"/>
      <c r="E7" s="12"/>
      <c r="F7" s="6">
        <f t="shared" si="0"/>
        <v>0</v>
      </c>
      <c r="G7" s="11"/>
    </row>
    <row r="8" spans="1:7">
      <c r="A8" s="13"/>
      <c r="B8" s="11"/>
      <c r="C8" s="11"/>
      <c r="D8" s="11"/>
      <c r="E8" s="12"/>
      <c r="F8" s="6">
        <f t="shared" si="0"/>
        <v>0</v>
      </c>
      <c r="G8" s="11"/>
    </row>
    <row r="9" spans="1:7">
      <c r="A9" s="13"/>
      <c r="B9" s="11"/>
      <c r="C9" s="11"/>
      <c r="D9" s="11"/>
      <c r="E9" s="12"/>
      <c r="F9" s="6">
        <f t="shared" si="0"/>
        <v>0</v>
      </c>
      <c r="G9" s="11"/>
    </row>
    <row r="10" spans="1:7">
      <c r="A10" s="13"/>
      <c r="B10" s="11"/>
      <c r="C10" s="11"/>
      <c r="D10" s="11"/>
      <c r="E10" s="12"/>
      <c r="F10" s="6">
        <f t="shared" si="0"/>
        <v>0</v>
      </c>
      <c r="G10" s="11"/>
    </row>
    <row r="11" spans="1:7">
      <c r="A11" s="13"/>
      <c r="B11" s="11"/>
      <c r="C11" s="11"/>
      <c r="D11" s="11"/>
      <c r="E11" s="12"/>
      <c r="F11" s="6">
        <f t="shared" si="0"/>
        <v>0</v>
      </c>
      <c r="G11" s="11"/>
    </row>
    <row r="12" spans="1:7">
      <c r="A12" s="13"/>
      <c r="B12" s="11"/>
      <c r="C12" s="11"/>
      <c r="D12" s="11"/>
      <c r="E12" s="12"/>
      <c r="F12" s="6">
        <f t="shared" si="0"/>
        <v>0</v>
      </c>
      <c r="G12" s="11"/>
    </row>
    <row r="13" spans="1:7">
      <c r="A13" s="13"/>
      <c r="B13" s="11"/>
      <c r="C13" s="11"/>
      <c r="D13" s="11"/>
      <c r="E13" s="12"/>
      <c r="F13" s="6">
        <f t="shared" si="0"/>
        <v>0</v>
      </c>
      <c r="G13" s="11"/>
    </row>
    <row r="14" spans="1:7">
      <c r="A14" s="13"/>
      <c r="B14" s="11"/>
      <c r="C14" s="11"/>
      <c r="D14" s="11"/>
      <c r="E14" s="12"/>
      <c r="F14" s="6">
        <f t="shared" si="0"/>
        <v>0</v>
      </c>
      <c r="G14" s="11"/>
    </row>
    <row r="15" spans="1:7">
      <c r="A15" s="13"/>
      <c r="B15" s="11"/>
      <c r="C15" s="11"/>
      <c r="D15" s="11"/>
      <c r="E15" s="12"/>
      <c r="F15" s="6">
        <f t="shared" si="0"/>
        <v>0</v>
      </c>
      <c r="G15" s="11"/>
    </row>
    <row r="16" spans="1:7">
      <c r="A16" s="13"/>
      <c r="B16" s="11"/>
      <c r="C16" s="11"/>
      <c r="D16" s="11"/>
      <c r="E16" s="12"/>
      <c r="F16" s="6">
        <f t="shared" si="0"/>
        <v>0</v>
      </c>
      <c r="G16" s="11"/>
    </row>
    <row r="17" spans="1:7">
      <c r="A17" s="13"/>
      <c r="B17" s="11"/>
      <c r="C17" s="11"/>
      <c r="D17" s="11"/>
      <c r="E17" s="12"/>
      <c r="F17" s="6">
        <f t="shared" si="0"/>
        <v>0</v>
      </c>
      <c r="G17" s="11"/>
    </row>
    <row r="18" spans="1:7">
      <c r="A18" s="13"/>
      <c r="B18" s="11"/>
      <c r="C18" s="11"/>
      <c r="D18" s="11"/>
      <c r="E18" s="12"/>
      <c r="F18" s="6">
        <f t="shared" si="0"/>
        <v>0</v>
      </c>
      <c r="G18" s="11"/>
    </row>
    <row r="19" spans="1:7">
      <c r="A19" s="13"/>
      <c r="B19" s="11"/>
      <c r="C19" s="11"/>
      <c r="D19" s="11"/>
      <c r="E19" s="12"/>
      <c r="F19" s="6">
        <f t="shared" si="0"/>
        <v>0</v>
      </c>
      <c r="G19" s="11"/>
    </row>
    <row r="20" spans="1:7">
      <c r="A20" s="13"/>
      <c r="B20" s="11"/>
      <c r="C20" s="11"/>
      <c r="D20" s="11"/>
      <c r="E20" s="12"/>
      <c r="F20" s="6">
        <f t="shared" si="0"/>
        <v>0</v>
      </c>
      <c r="G20" s="11"/>
    </row>
    <row r="21" spans="1:7">
      <c r="A21" s="13"/>
      <c r="B21" s="11"/>
      <c r="C21" s="11"/>
      <c r="D21" s="11"/>
      <c r="E21" s="12"/>
      <c r="F21" s="6">
        <f t="shared" si="0"/>
        <v>0</v>
      </c>
      <c r="G21" s="11"/>
    </row>
    <row r="22" spans="1:7">
      <c r="A22" s="13"/>
      <c r="B22" s="11"/>
      <c r="C22" s="11"/>
      <c r="D22" s="11"/>
      <c r="E22" s="12"/>
      <c r="F22" s="6">
        <f t="shared" si="0"/>
        <v>0</v>
      </c>
      <c r="G22" s="11"/>
    </row>
    <row r="23" spans="1:7">
      <c r="A23" s="13"/>
      <c r="B23" s="11"/>
      <c r="C23" s="11"/>
      <c r="D23" s="11"/>
      <c r="E23" s="12"/>
      <c r="F23" s="6">
        <f t="shared" si="0"/>
        <v>0</v>
      </c>
      <c r="G23" s="11"/>
    </row>
    <row r="24" spans="1:7">
      <c r="A24" s="13"/>
      <c r="B24" s="11"/>
      <c r="C24" s="11"/>
      <c r="D24" s="11"/>
      <c r="E24" s="12"/>
      <c r="F24" s="6">
        <f t="shared" si="0"/>
        <v>0</v>
      </c>
      <c r="G24" s="11"/>
    </row>
    <row r="25" spans="1:7">
      <c r="A25" s="13"/>
      <c r="B25" s="11"/>
      <c r="C25" s="11"/>
      <c r="D25" s="11"/>
      <c r="E25" s="12"/>
      <c r="F25" s="6">
        <f t="shared" si="0"/>
        <v>0</v>
      </c>
      <c r="G25" s="11"/>
    </row>
    <row r="26" spans="1:7">
      <c r="A26" s="13"/>
      <c r="B26" s="11"/>
      <c r="C26" s="11"/>
      <c r="D26" s="11"/>
      <c r="E26" s="12"/>
      <c r="F26" s="6">
        <f t="shared" si="0"/>
        <v>0</v>
      </c>
      <c r="G26" s="11"/>
    </row>
    <row r="27" spans="1:7">
      <c r="A27" s="13"/>
      <c r="B27" s="11"/>
      <c r="C27" s="11"/>
      <c r="D27" s="11"/>
      <c r="E27" s="12"/>
      <c r="F27" s="6">
        <f t="shared" si="0"/>
        <v>0</v>
      </c>
      <c r="G27" s="11"/>
    </row>
    <row r="28" spans="1:7">
      <c r="A28" s="13"/>
      <c r="B28" s="11"/>
      <c r="C28" s="11"/>
      <c r="D28" s="11"/>
      <c r="E28" s="12"/>
      <c r="F28" s="6">
        <f t="shared" si="0"/>
        <v>0</v>
      </c>
      <c r="G28" s="11"/>
    </row>
    <row r="29" spans="1:7">
      <c r="A29" s="13"/>
      <c r="B29" s="11"/>
      <c r="C29" s="11"/>
      <c r="D29" s="11"/>
      <c r="E29" s="12"/>
      <c r="F29" s="6">
        <f t="shared" si="0"/>
        <v>0</v>
      </c>
      <c r="G29" s="11"/>
    </row>
    <row r="30" spans="1:7">
      <c r="A30" s="13"/>
      <c r="B30" s="11"/>
      <c r="C30" s="11"/>
      <c r="D30" s="11"/>
      <c r="E30" s="12"/>
      <c r="F30" s="6">
        <f t="shared" si="0"/>
        <v>0</v>
      </c>
      <c r="G30" s="11"/>
    </row>
    <row r="31" spans="1:7">
      <c r="A31" s="13"/>
      <c r="B31" s="11"/>
      <c r="C31" s="11"/>
      <c r="D31" s="11"/>
      <c r="E31" s="12"/>
      <c r="F31" s="6">
        <f t="shared" si="0"/>
        <v>0</v>
      </c>
      <c r="G31" s="11"/>
    </row>
    <row r="32" spans="1:7">
      <c r="A32" s="13"/>
      <c r="B32" s="11"/>
      <c r="C32" s="11"/>
      <c r="D32" s="11"/>
      <c r="E32" s="12"/>
      <c r="F32" s="6">
        <f t="shared" si="0"/>
        <v>0</v>
      </c>
      <c r="G32" s="11"/>
    </row>
    <row r="33" spans="1:7">
      <c r="A33" s="13"/>
      <c r="B33" s="11"/>
      <c r="C33" s="11"/>
      <c r="D33" s="11"/>
      <c r="E33" s="12"/>
      <c r="F33" s="6">
        <f t="shared" si="0"/>
        <v>0</v>
      </c>
      <c r="G33" s="11"/>
    </row>
    <row r="34" spans="1:7">
      <c r="A34" s="13"/>
      <c r="B34" s="11"/>
      <c r="C34" s="11"/>
      <c r="D34" s="11"/>
      <c r="E34" s="12"/>
      <c r="F34" s="6">
        <f t="shared" si="0"/>
        <v>0</v>
      </c>
      <c r="G34" s="11"/>
    </row>
    <row r="35" spans="1:7">
      <c r="A35" s="13"/>
      <c r="B35" s="11"/>
      <c r="C35" s="11"/>
      <c r="D35" s="11"/>
      <c r="E35" s="12"/>
      <c r="F35" s="6">
        <f t="shared" si="0"/>
        <v>0</v>
      </c>
      <c r="G35" s="11"/>
    </row>
    <row r="36" spans="1:7">
      <c r="A36" s="13"/>
      <c r="B36" s="11"/>
      <c r="C36" s="11"/>
      <c r="D36" s="11"/>
      <c r="E36" s="12"/>
      <c r="F36" s="6">
        <f t="shared" si="0"/>
        <v>0</v>
      </c>
      <c r="G36" s="11"/>
    </row>
    <row r="37" spans="1:7">
      <c r="A37" s="13"/>
      <c r="B37" s="11"/>
      <c r="C37" s="11"/>
      <c r="D37" s="11"/>
      <c r="E37" s="12"/>
      <c r="F37" s="6">
        <f t="shared" si="0"/>
        <v>0</v>
      </c>
      <c r="G37" s="11"/>
    </row>
    <row r="38" spans="1:7">
      <c r="A38" s="13"/>
      <c r="B38" s="11"/>
      <c r="C38" s="11"/>
      <c r="D38" s="11"/>
      <c r="E38" s="12"/>
      <c r="F38" s="6">
        <f t="shared" si="0"/>
        <v>0</v>
      </c>
      <c r="G38" s="11"/>
    </row>
    <row r="39" spans="1:7">
      <c r="A39" s="13"/>
      <c r="B39" s="11"/>
      <c r="C39" s="11"/>
      <c r="D39" s="11"/>
      <c r="E39" s="12"/>
      <c r="F39" s="6">
        <f t="shared" si="0"/>
        <v>0</v>
      </c>
      <c r="G39" s="11"/>
    </row>
    <row r="40" spans="1:7">
      <c r="A40" s="13"/>
      <c r="B40" s="11"/>
      <c r="C40" s="11"/>
      <c r="D40" s="11"/>
      <c r="E40" s="12"/>
      <c r="F40" s="6">
        <f t="shared" si="0"/>
        <v>0</v>
      </c>
      <c r="G40" s="11"/>
    </row>
    <row r="41" spans="1:7">
      <c r="A41" s="13"/>
      <c r="B41" s="11"/>
      <c r="C41" s="11"/>
      <c r="D41" s="11"/>
      <c r="E41" s="12"/>
      <c r="F41" s="6">
        <f t="shared" si="0"/>
        <v>0</v>
      </c>
      <c r="G41" s="11"/>
    </row>
    <row r="42" spans="1:7">
      <c r="A42" s="13"/>
      <c r="B42" s="11"/>
      <c r="C42" s="11"/>
      <c r="D42" s="11"/>
      <c r="E42" s="12"/>
      <c r="F42" s="6">
        <f t="shared" si="0"/>
        <v>0</v>
      </c>
      <c r="G42" s="11"/>
    </row>
    <row r="43" spans="1:7">
      <c r="A43" s="13"/>
      <c r="B43" s="11"/>
      <c r="C43" s="11"/>
      <c r="D43" s="11"/>
      <c r="E43" s="12"/>
      <c r="F43" s="6">
        <f t="shared" si="0"/>
        <v>0</v>
      </c>
      <c r="G43" s="11"/>
    </row>
    <row r="44" spans="1:7">
      <c r="A44" s="13"/>
      <c r="B44" s="11"/>
      <c r="C44" s="11"/>
      <c r="D44" s="11"/>
      <c r="E44" s="12"/>
      <c r="F44" s="6">
        <f t="shared" si="0"/>
        <v>0</v>
      </c>
      <c r="G44" s="11"/>
    </row>
    <row r="45" spans="1:7">
      <c r="A45" s="13"/>
      <c r="B45" s="11"/>
      <c r="C45" s="11"/>
      <c r="D45" s="11"/>
      <c r="E45" s="12"/>
      <c r="F45" s="6">
        <f t="shared" si="0"/>
        <v>0</v>
      </c>
      <c r="G45" s="11"/>
    </row>
    <row r="47" spans="5:6">
      <c r="E47" s="14" t="s">
        <v>56</v>
      </c>
      <c r="F47" s="15">
        <f>SUM(F5:F45)</f>
        <v>240000</v>
      </c>
    </row>
  </sheetData>
  <mergeCells count="2">
    <mergeCell ref="A1:G1"/>
    <mergeCell ref="A2:G2"/>
  </mergeCells>
  <dataValidations count="1">
    <dataValidation type="list" allowBlank="1" sqref="G6:G45">
      <formula1>"Cash,Credit,Bank Transfer,Mobile Money"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showGridLines="0" workbookViewId="0">
      <pane ySplit="5" topLeftCell="A6" activePane="bottomLeft" state="frozen"/>
      <selection/>
      <selection pane="bottomLeft" activeCell="A1" sqref="A1:E1"/>
    </sheetView>
  </sheetViews>
  <sheetFormatPr defaultColWidth="8.68181818181818" defaultRowHeight="14.5" outlineLevelCol="4"/>
  <cols>
    <col min="1" max="1" width="13" customWidth="1"/>
    <col min="2" max="2" width="34" customWidth="1"/>
    <col min="3" max="5" width="16" customWidth="1"/>
  </cols>
  <sheetData>
    <row r="1" ht="24" customHeight="1" spans="1:5">
      <c r="A1" s="1" t="s">
        <v>57</v>
      </c>
      <c r="B1" s="1"/>
      <c r="C1" s="1"/>
      <c r="D1" s="1"/>
      <c r="E1" s="1"/>
    </row>
    <row r="2" spans="1:5">
      <c r="A2" s="2" t="s">
        <v>58</v>
      </c>
      <c r="B2" s="2"/>
      <c r="C2" s="2"/>
      <c r="D2" s="2"/>
      <c r="E2" s="2"/>
    </row>
    <row r="4" spans="1:5">
      <c r="A4" s="8" t="s">
        <v>29</v>
      </c>
      <c r="B4" s="8" t="s">
        <v>30</v>
      </c>
      <c r="C4" s="8" t="s">
        <v>59</v>
      </c>
      <c r="D4" s="8" t="s">
        <v>60</v>
      </c>
      <c r="E4" s="8" t="s">
        <v>34</v>
      </c>
    </row>
    <row r="5" spans="1:5">
      <c r="A5" s="16" t="s">
        <v>61</v>
      </c>
      <c r="E5" s="17">
        <v>20000</v>
      </c>
    </row>
    <row r="6" spans="1:5">
      <c r="A6" s="10">
        <v>46028</v>
      </c>
      <c r="B6" s="9" t="s">
        <v>62</v>
      </c>
      <c r="C6" s="9" t="s">
        <v>63</v>
      </c>
      <c r="D6" s="6">
        <v>3500</v>
      </c>
      <c r="E6" s="6">
        <f t="shared" ref="E6:E40" si="0">E5-D6</f>
        <v>16500</v>
      </c>
    </row>
    <row r="7" spans="1:5">
      <c r="A7" s="13"/>
      <c r="B7" s="11"/>
      <c r="C7" s="11"/>
      <c r="D7" s="12"/>
      <c r="E7" s="6">
        <f t="shared" si="0"/>
        <v>16500</v>
      </c>
    </row>
    <row r="8" spans="1:5">
      <c r="A8" s="13"/>
      <c r="B8" s="11"/>
      <c r="C8" s="11"/>
      <c r="D8" s="12"/>
      <c r="E8" s="6">
        <f t="shared" si="0"/>
        <v>16500</v>
      </c>
    </row>
    <row r="9" spans="1:5">
      <c r="A9" s="13"/>
      <c r="B9" s="11"/>
      <c r="C9" s="11"/>
      <c r="D9" s="12"/>
      <c r="E9" s="6">
        <f t="shared" si="0"/>
        <v>16500</v>
      </c>
    </row>
    <row r="10" spans="1:5">
      <c r="A10" s="13"/>
      <c r="B10" s="11"/>
      <c r="C10" s="11"/>
      <c r="D10" s="12"/>
      <c r="E10" s="6">
        <f t="shared" si="0"/>
        <v>16500</v>
      </c>
    </row>
    <row r="11" spans="1:5">
      <c r="A11" s="13"/>
      <c r="B11" s="11"/>
      <c r="C11" s="11"/>
      <c r="D11" s="12"/>
      <c r="E11" s="6">
        <f t="shared" si="0"/>
        <v>16500</v>
      </c>
    </row>
    <row r="12" spans="1:5">
      <c r="A12" s="13"/>
      <c r="B12" s="11"/>
      <c r="C12" s="11"/>
      <c r="D12" s="12"/>
      <c r="E12" s="6">
        <f t="shared" si="0"/>
        <v>16500</v>
      </c>
    </row>
    <row r="13" spans="1:5">
      <c r="A13" s="13"/>
      <c r="B13" s="11"/>
      <c r="C13" s="11"/>
      <c r="D13" s="12"/>
      <c r="E13" s="6">
        <f t="shared" si="0"/>
        <v>16500</v>
      </c>
    </row>
    <row r="14" spans="1:5">
      <c r="A14" s="13"/>
      <c r="B14" s="11"/>
      <c r="C14" s="11"/>
      <c r="D14" s="12"/>
      <c r="E14" s="6">
        <f t="shared" si="0"/>
        <v>16500</v>
      </c>
    </row>
    <row r="15" spans="1:5">
      <c r="A15" s="13"/>
      <c r="B15" s="11"/>
      <c r="C15" s="11"/>
      <c r="D15" s="12"/>
      <c r="E15" s="6">
        <f t="shared" si="0"/>
        <v>16500</v>
      </c>
    </row>
    <row r="16" spans="1:5">
      <c r="A16" s="13"/>
      <c r="B16" s="11"/>
      <c r="C16" s="11"/>
      <c r="D16" s="12"/>
      <c r="E16" s="6">
        <f t="shared" si="0"/>
        <v>16500</v>
      </c>
    </row>
    <row r="17" spans="1:5">
      <c r="A17" s="13"/>
      <c r="B17" s="11"/>
      <c r="C17" s="11"/>
      <c r="D17" s="12"/>
      <c r="E17" s="6">
        <f t="shared" si="0"/>
        <v>16500</v>
      </c>
    </row>
    <row r="18" spans="1:5">
      <c r="A18" s="13"/>
      <c r="B18" s="11"/>
      <c r="C18" s="11"/>
      <c r="D18" s="12"/>
      <c r="E18" s="6">
        <f t="shared" si="0"/>
        <v>16500</v>
      </c>
    </row>
    <row r="19" spans="1:5">
      <c r="A19" s="13"/>
      <c r="B19" s="11"/>
      <c r="C19" s="11"/>
      <c r="D19" s="12"/>
      <c r="E19" s="6">
        <f t="shared" si="0"/>
        <v>16500</v>
      </c>
    </row>
    <row r="20" spans="1:5">
      <c r="A20" s="13"/>
      <c r="B20" s="11"/>
      <c r="C20" s="11"/>
      <c r="D20" s="12"/>
      <c r="E20" s="6">
        <f t="shared" si="0"/>
        <v>16500</v>
      </c>
    </row>
    <row r="21" spans="1:5">
      <c r="A21" s="13"/>
      <c r="B21" s="11"/>
      <c r="C21" s="11"/>
      <c r="D21" s="12"/>
      <c r="E21" s="6">
        <f t="shared" si="0"/>
        <v>16500</v>
      </c>
    </row>
    <row r="22" spans="1:5">
      <c r="A22" s="13"/>
      <c r="B22" s="11"/>
      <c r="C22" s="11"/>
      <c r="D22" s="12"/>
      <c r="E22" s="6">
        <f t="shared" si="0"/>
        <v>16500</v>
      </c>
    </row>
    <row r="23" spans="1:5">
      <c r="A23" s="13"/>
      <c r="B23" s="11"/>
      <c r="C23" s="11"/>
      <c r="D23" s="12"/>
      <c r="E23" s="6">
        <f t="shared" si="0"/>
        <v>16500</v>
      </c>
    </row>
    <row r="24" spans="1:5">
      <c r="A24" s="13"/>
      <c r="B24" s="11"/>
      <c r="C24" s="11"/>
      <c r="D24" s="12"/>
      <c r="E24" s="6">
        <f t="shared" si="0"/>
        <v>16500</v>
      </c>
    </row>
    <row r="25" spans="1:5">
      <c r="A25" s="13"/>
      <c r="B25" s="11"/>
      <c r="C25" s="11"/>
      <c r="D25" s="12"/>
      <c r="E25" s="6">
        <f t="shared" si="0"/>
        <v>16500</v>
      </c>
    </row>
    <row r="26" spans="1:5">
      <c r="A26" s="13"/>
      <c r="B26" s="11"/>
      <c r="C26" s="11"/>
      <c r="D26" s="12"/>
      <c r="E26" s="6">
        <f t="shared" si="0"/>
        <v>16500</v>
      </c>
    </row>
    <row r="27" spans="1:5">
      <c r="A27" s="13"/>
      <c r="B27" s="11"/>
      <c r="C27" s="11"/>
      <c r="D27" s="12"/>
      <c r="E27" s="6">
        <f t="shared" si="0"/>
        <v>16500</v>
      </c>
    </row>
    <row r="28" spans="1:5">
      <c r="A28" s="13"/>
      <c r="B28" s="11"/>
      <c r="C28" s="11"/>
      <c r="D28" s="12"/>
      <c r="E28" s="6">
        <f t="shared" si="0"/>
        <v>16500</v>
      </c>
    </row>
    <row r="29" spans="1:5">
      <c r="A29" s="13"/>
      <c r="B29" s="11"/>
      <c r="C29" s="11"/>
      <c r="D29" s="12"/>
      <c r="E29" s="6">
        <f t="shared" si="0"/>
        <v>16500</v>
      </c>
    </row>
    <row r="30" spans="1:5">
      <c r="A30" s="13"/>
      <c r="B30" s="11"/>
      <c r="C30" s="11"/>
      <c r="D30" s="12"/>
      <c r="E30" s="6">
        <f t="shared" si="0"/>
        <v>16500</v>
      </c>
    </row>
    <row r="31" spans="1:5">
      <c r="A31" s="13"/>
      <c r="B31" s="11"/>
      <c r="C31" s="11"/>
      <c r="D31" s="12"/>
      <c r="E31" s="6">
        <f t="shared" si="0"/>
        <v>16500</v>
      </c>
    </row>
    <row r="32" spans="1:5">
      <c r="A32" s="13"/>
      <c r="B32" s="11"/>
      <c r="C32" s="11"/>
      <c r="D32" s="12"/>
      <c r="E32" s="6">
        <f t="shared" si="0"/>
        <v>16500</v>
      </c>
    </row>
    <row r="33" spans="1:5">
      <c r="A33" s="13"/>
      <c r="B33" s="11"/>
      <c r="C33" s="11"/>
      <c r="D33" s="12"/>
      <c r="E33" s="6">
        <f t="shared" si="0"/>
        <v>16500</v>
      </c>
    </row>
    <row r="34" spans="1:5">
      <c r="A34" s="13"/>
      <c r="B34" s="11"/>
      <c r="C34" s="11"/>
      <c r="D34" s="12"/>
      <c r="E34" s="6">
        <f t="shared" si="0"/>
        <v>16500</v>
      </c>
    </row>
    <row r="35" spans="1:5">
      <c r="A35" s="13"/>
      <c r="B35" s="11"/>
      <c r="C35" s="11"/>
      <c r="D35" s="12"/>
      <c r="E35" s="6">
        <f t="shared" si="0"/>
        <v>16500</v>
      </c>
    </row>
    <row r="36" spans="1:5">
      <c r="A36" s="13"/>
      <c r="B36" s="11"/>
      <c r="C36" s="11"/>
      <c r="D36" s="12"/>
      <c r="E36" s="6">
        <f t="shared" si="0"/>
        <v>16500</v>
      </c>
    </row>
    <row r="37" spans="1:5">
      <c r="A37" s="13"/>
      <c r="B37" s="11"/>
      <c r="C37" s="11"/>
      <c r="D37" s="12"/>
      <c r="E37" s="6">
        <f t="shared" si="0"/>
        <v>16500</v>
      </c>
    </row>
    <row r="38" spans="1:5">
      <c r="A38" s="13"/>
      <c r="B38" s="11"/>
      <c r="C38" s="11"/>
      <c r="D38" s="12"/>
      <c r="E38" s="6">
        <f t="shared" si="0"/>
        <v>16500</v>
      </c>
    </row>
    <row r="39" spans="1:5">
      <c r="A39" s="13"/>
      <c r="B39" s="11"/>
      <c r="C39" s="11"/>
      <c r="D39" s="12"/>
      <c r="E39" s="6">
        <f t="shared" si="0"/>
        <v>16500</v>
      </c>
    </row>
    <row r="40" spans="1:5">
      <c r="A40" s="13"/>
      <c r="B40" s="11"/>
      <c r="C40" s="11"/>
      <c r="D40" s="12"/>
      <c r="E40" s="6">
        <f t="shared" si="0"/>
        <v>16500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showGridLines="0" workbookViewId="0">
      <pane ySplit="4" topLeftCell="A5" activePane="bottomLeft" state="frozen"/>
      <selection/>
      <selection pane="bottomLeft" activeCell="A1" sqref="A1:H1"/>
    </sheetView>
  </sheetViews>
  <sheetFormatPr defaultColWidth="8.68181818181818" defaultRowHeight="14.5" outlineLevelCol="7"/>
  <cols>
    <col min="1" max="1" width="13" customWidth="1"/>
    <col min="2" max="2" width="24" customWidth="1"/>
    <col min="3" max="3" width="18" customWidth="1"/>
    <col min="4" max="6" width="10" customWidth="1"/>
    <col min="7" max="7" width="12" customWidth="1"/>
    <col min="8" max="8" width="26" customWidth="1"/>
  </cols>
  <sheetData>
    <row r="1" ht="24" customHeight="1" spans="1:8">
      <c r="A1" s="1" t="s">
        <v>64</v>
      </c>
      <c r="B1" s="1"/>
      <c r="C1" s="1"/>
      <c r="D1" s="1"/>
      <c r="E1" s="1"/>
      <c r="F1" s="1"/>
      <c r="G1" s="1"/>
      <c r="H1" s="1"/>
    </row>
    <row r="2" spans="1:8">
      <c r="A2" s="2" t="s">
        <v>65</v>
      </c>
      <c r="B2" s="2"/>
      <c r="C2" s="2"/>
      <c r="D2" s="2"/>
      <c r="E2" s="2"/>
      <c r="F2" s="2"/>
      <c r="G2" s="2"/>
      <c r="H2" s="2"/>
    </row>
    <row r="4" ht="28" spans="1:8">
      <c r="A4" s="8" t="s">
        <v>29</v>
      </c>
      <c r="B4" s="8" t="s">
        <v>51</v>
      </c>
      <c r="C4" s="8" t="s">
        <v>66</v>
      </c>
      <c r="D4" s="8" t="s">
        <v>67</v>
      </c>
      <c r="E4" s="8" t="s">
        <v>68</v>
      </c>
      <c r="F4" s="8" t="s">
        <v>69</v>
      </c>
      <c r="G4" s="8" t="s">
        <v>70</v>
      </c>
      <c r="H4" s="8" t="s">
        <v>71</v>
      </c>
    </row>
    <row r="5" spans="1:8">
      <c r="A5" s="10">
        <v>46025</v>
      </c>
      <c r="B5" s="9" t="s">
        <v>72</v>
      </c>
      <c r="C5" s="9" t="s">
        <v>73</v>
      </c>
      <c r="D5" s="9" t="s">
        <v>74</v>
      </c>
      <c r="E5" s="9">
        <v>20</v>
      </c>
      <c r="F5" s="9">
        <v>0</v>
      </c>
      <c r="G5" s="9">
        <f>E5-F5</f>
        <v>20</v>
      </c>
      <c r="H5" s="9" t="s">
        <v>75</v>
      </c>
    </row>
    <row r="6" spans="1:8">
      <c r="A6" s="13"/>
      <c r="B6" s="11"/>
      <c r="C6" s="11"/>
      <c r="D6" s="11"/>
      <c r="E6" s="11"/>
      <c r="F6" s="11"/>
      <c r="G6" s="9">
        <f t="shared" ref="G6:G45" si="0">G5+E6-F6</f>
        <v>20</v>
      </c>
      <c r="H6" s="11"/>
    </row>
    <row r="7" spans="1:8">
      <c r="A7" s="13"/>
      <c r="B7" s="11"/>
      <c r="C7" s="11"/>
      <c r="D7" s="11"/>
      <c r="E7" s="11"/>
      <c r="F7" s="11"/>
      <c r="G7" s="9">
        <f t="shared" si="0"/>
        <v>20</v>
      </c>
      <c r="H7" s="11"/>
    </row>
    <row r="8" spans="1:8">
      <c r="A8" s="13"/>
      <c r="B8" s="11"/>
      <c r="C8" s="11"/>
      <c r="D8" s="11"/>
      <c r="E8" s="11"/>
      <c r="F8" s="11"/>
      <c r="G8" s="9">
        <f t="shared" si="0"/>
        <v>20</v>
      </c>
      <c r="H8" s="11"/>
    </row>
    <row r="9" spans="1:8">
      <c r="A9" s="13"/>
      <c r="B9" s="11"/>
      <c r="C9" s="11"/>
      <c r="D9" s="11"/>
      <c r="E9" s="11"/>
      <c r="F9" s="11"/>
      <c r="G9" s="9">
        <f t="shared" si="0"/>
        <v>20</v>
      </c>
      <c r="H9" s="11"/>
    </row>
    <row r="10" spans="1:8">
      <c r="A10" s="13"/>
      <c r="B10" s="11"/>
      <c r="C10" s="11"/>
      <c r="D10" s="11"/>
      <c r="E10" s="11"/>
      <c r="F10" s="11"/>
      <c r="G10" s="9">
        <f t="shared" si="0"/>
        <v>20</v>
      </c>
      <c r="H10" s="11"/>
    </row>
    <row r="11" spans="1:8">
      <c r="A11" s="13"/>
      <c r="B11" s="11"/>
      <c r="C11" s="11"/>
      <c r="D11" s="11"/>
      <c r="E11" s="11"/>
      <c r="F11" s="11"/>
      <c r="G11" s="9">
        <f t="shared" si="0"/>
        <v>20</v>
      </c>
      <c r="H11" s="11"/>
    </row>
    <row r="12" spans="1:8">
      <c r="A12" s="13"/>
      <c r="B12" s="11"/>
      <c r="C12" s="11"/>
      <c r="D12" s="11"/>
      <c r="E12" s="11"/>
      <c r="F12" s="11"/>
      <c r="G12" s="9">
        <f t="shared" si="0"/>
        <v>20</v>
      </c>
      <c r="H12" s="11"/>
    </row>
    <row r="13" spans="1:8">
      <c r="A13" s="13"/>
      <c r="B13" s="11"/>
      <c r="C13" s="11"/>
      <c r="D13" s="11"/>
      <c r="E13" s="11"/>
      <c r="F13" s="11"/>
      <c r="G13" s="9">
        <f t="shared" si="0"/>
        <v>20</v>
      </c>
      <c r="H13" s="11"/>
    </row>
    <row r="14" spans="1:8">
      <c r="A14" s="13"/>
      <c r="B14" s="11"/>
      <c r="C14" s="11"/>
      <c r="D14" s="11"/>
      <c r="E14" s="11"/>
      <c r="F14" s="11"/>
      <c r="G14" s="9">
        <f t="shared" si="0"/>
        <v>20</v>
      </c>
      <c r="H14" s="11"/>
    </row>
    <row r="15" spans="1:8">
      <c r="A15" s="13"/>
      <c r="B15" s="11"/>
      <c r="C15" s="11"/>
      <c r="D15" s="11"/>
      <c r="E15" s="11"/>
      <c r="F15" s="11"/>
      <c r="G15" s="9">
        <f t="shared" si="0"/>
        <v>20</v>
      </c>
      <c r="H15" s="11"/>
    </row>
    <row r="16" spans="1:8">
      <c r="A16" s="13"/>
      <c r="B16" s="11"/>
      <c r="C16" s="11"/>
      <c r="D16" s="11"/>
      <c r="E16" s="11"/>
      <c r="F16" s="11"/>
      <c r="G16" s="9">
        <f t="shared" si="0"/>
        <v>20</v>
      </c>
      <c r="H16" s="11"/>
    </row>
    <row r="17" spans="1:8">
      <c r="A17" s="13"/>
      <c r="B17" s="11"/>
      <c r="C17" s="11"/>
      <c r="D17" s="11"/>
      <c r="E17" s="11"/>
      <c r="F17" s="11"/>
      <c r="G17" s="9">
        <f t="shared" si="0"/>
        <v>20</v>
      </c>
      <c r="H17" s="11"/>
    </row>
    <row r="18" spans="1:8">
      <c r="A18" s="13"/>
      <c r="B18" s="11"/>
      <c r="C18" s="11"/>
      <c r="D18" s="11"/>
      <c r="E18" s="11"/>
      <c r="F18" s="11"/>
      <c r="G18" s="9">
        <f t="shared" si="0"/>
        <v>20</v>
      </c>
      <c r="H18" s="11"/>
    </row>
    <row r="19" spans="1:8">
      <c r="A19" s="13"/>
      <c r="B19" s="11"/>
      <c r="C19" s="11"/>
      <c r="D19" s="11"/>
      <c r="E19" s="11"/>
      <c r="F19" s="11"/>
      <c r="G19" s="9">
        <f t="shared" si="0"/>
        <v>20</v>
      </c>
      <c r="H19" s="11"/>
    </row>
    <row r="20" spans="1:8">
      <c r="A20" s="13"/>
      <c r="B20" s="11"/>
      <c r="C20" s="11"/>
      <c r="D20" s="11"/>
      <c r="E20" s="11"/>
      <c r="F20" s="11"/>
      <c r="G20" s="9">
        <f t="shared" si="0"/>
        <v>20</v>
      </c>
      <c r="H20" s="11"/>
    </row>
    <row r="21" spans="1:8">
      <c r="A21" s="13"/>
      <c r="B21" s="11"/>
      <c r="C21" s="11"/>
      <c r="D21" s="11"/>
      <c r="E21" s="11"/>
      <c r="F21" s="11"/>
      <c r="G21" s="9">
        <f t="shared" si="0"/>
        <v>20</v>
      </c>
      <c r="H21" s="11"/>
    </row>
    <row r="22" spans="1:8">
      <c r="A22" s="13"/>
      <c r="B22" s="11"/>
      <c r="C22" s="11"/>
      <c r="D22" s="11"/>
      <c r="E22" s="11"/>
      <c r="F22" s="11"/>
      <c r="G22" s="9">
        <f t="shared" si="0"/>
        <v>20</v>
      </c>
      <c r="H22" s="11"/>
    </row>
    <row r="23" spans="1:8">
      <c r="A23" s="13"/>
      <c r="B23" s="11"/>
      <c r="C23" s="11"/>
      <c r="D23" s="11"/>
      <c r="E23" s="11"/>
      <c r="F23" s="11"/>
      <c r="G23" s="9">
        <f t="shared" si="0"/>
        <v>20</v>
      </c>
      <c r="H23" s="11"/>
    </row>
    <row r="24" spans="1:8">
      <c r="A24" s="13"/>
      <c r="B24" s="11"/>
      <c r="C24" s="11"/>
      <c r="D24" s="11"/>
      <c r="E24" s="11"/>
      <c r="F24" s="11"/>
      <c r="G24" s="9">
        <f t="shared" si="0"/>
        <v>20</v>
      </c>
      <c r="H24" s="11"/>
    </row>
    <row r="25" spans="1:8">
      <c r="A25" s="13"/>
      <c r="B25" s="11"/>
      <c r="C25" s="11"/>
      <c r="D25" s="11"/>
      <c r="E25" s="11"/>
      <c r="F25" s="11"/>
      <c r="G25" s="9">
        <f t="shared" si="0"/>
        <v>20</v>
      </c>
      <c r="H25" s="11"/>
    </row>
    <row r="26" spans="1:8">
      <c r="A26" s="13"/>
      <c r="B26" s="11"/>
      <c r="C26" s="11"/>
      <c r="D26" s="11"/>
      <c r="E26" s="11"/>
      <c r="F26" s="11"/>
      <c r="G26" s="9">
        <f t="shared" si="0"/>
        <v>20</v>
      </c>
      <c r="H26" s="11"/>
    </row>
    <row r="27" spans="1:8">
      <c r="A27" s="13"/>
      <c r="B27" s="11"/>
      <c r="C27" s="11"/>
      <c r="D27" s="11"/>
      <c r="E27" s="11"/>
      <c r="F27" s="11"/>
      <c r="G27" s="9">
        <f t="shared" si="0"/>
        <v>20</v>
      </c>
      <c r="H27" s="11"/>
    </row>
    <row r="28" spans="1:8">
      <c r="A28" s="13"/>
      <c r="B28" s="11"/>
      <c r="C28" s="11"/>
      <c r="D28" s="11"/>
      <c r="E28" s="11"/>
      <c r="F28" s="11"/>
      <c r="G28" s="9">
        <f t="shared" si="0"/>
        <v>20</v>
      </c>
      <c r="H28" s="11"/>
    </row>
    <row r="29" spans="1:8">
      <c r="A29" s="13"/>
      <c r="B29" s="11"/>
      <c r="C29" s="11"/>
      <c r="D29" s="11"/>
      <c r="E29" s="11"/>
      <c r="F29" s="11"/>
      <c r="G29" s="9">
        <f t="shared" si="0"/>
        <v>20</v>
      </c>
      <c r="H29" s="11"/>
    </row>
    <row r="30" spans="1:8">
      <c r="A30" s="13"/>
      <c r="B30" s="11"/>
      <c r="C30" s="11"/>
      <c r="D30" s="11"/>
      <c r="E30" s="11"/>
      <c r="F30" s="11"/>
      <c r="G30" s="9">
        <f t="shared" si="0"/>
        <v>20</v>
      </c>
      <c r="H30" s="11"/>
    </row>
    <row r="31" spans="1:8">
      <c r="A31" s="13"/>
      <c r="B31" s="11"/>
      <c r="C31" s="11"/>
      <c r="D31" s="11"/>
      <c r="E31" s="11"/>
      <c r="F31" s="11"/>
      <c r="G31" s="9">
        <f t="shared" si="0"/>
        <v>20</v>
      </c>
      <c r="H31" s="11"/>
    </row>
    <row r="32" spans="1:8">
      <c r="A32" s="13"/>
      <c r="B32" s="11"/>
      <c r="C32" s="11"/>
      <c r="D32" s="11"/>
      <c r="E32" s="11"/>
      <c r="F32" s="11"/>
      <c r="G32" s="9">
        <f t="shared" si="0"/>
        <v>20</v>
      </c>
      <c r="H32" s="11"/>
    </row>
    <row r="33" spans="1:8">
      <c r="A33" s="13"/>
      <c r="B33" s="11"/>
      <c r="C33" s="11"/>
      <c r="D33" s="11"/>
      <c r="E33" s="11"/>
      <c r="F33" s="11"/>
      <c r="G33" s="9">
        <f t="shared" si="0"/>
        <v>20</v>
      </c>
      <c r="H33" s="11"/>
    </row>
    <row r="34" spans="1:8">
      <c r="A34" s="13"/>
      <c r="B34" s="11"/>
      <c r="C34" s="11"/>
      <c r="D34" s="11"/>
      <c r="E34" s="11"/>
      <c r="F34" s="11"/>
      <c r="G34" s="9">
        <f t="shared" si="0"/>
        <v>20</v>
      </c>
      <c r="H34" s="11"/>
    </row>
    <row r="35" spans="1:8">
      <c r="A35" s="13"/>
      <c r="B35" s="11"/>
      <c r="C35" s="11"/>
      <c r="D35" s="11"/>
      <c r="E35" s="11"/>
      <c r="F35" s="11"/>
      <c r="G35" s="9">
        <f t="shared" si="0"/>
        <v>20</v>
      </c>
      <c r="H35" s="11"/>
    </row>
    <row r="36" spans="1:8">
      <c r="A36" s="13"/>
      <c r="B36" s="11"/>
      <c r="C36" s="11"/>
      <c r="D36" s="11"/>
      <c r="E36" s="11"/>
      <c r="F36" s="11"/>
      <c r="G36" s="9">
        <f t="shared" si="0"/>
        <v>20</v>
      </c>
      <c r="H36" s="11"/>
    </row>
    <row r="37" spans="1:8">
      <c r="A37" s="13"/>
      <c r="B37" s="11"/>
      <c r="C37" s="11"/>
      <c r="D37" s="11"/>
      <c r="E37" s="11"/>
      <c r="F37" s="11"/>
      <c r="G37" s="9">
        <f t="shared" si="0"/>
        <v>20</v>
      </c>
      <c r="H37" s="11"/>
    </row>
    <row r="38" spans="1:8">
      <c r="A38" s="13"/>
      <c r="B38" s="11"/>
      <c r="C38" s="11"/>
      <c r="D38" s="11"/>
      <c r="E38" s="11"/>
      <c r="F38" s="11"/>
      <c r="G38" s="9">
        <f t="shared" si="0"/>
        <v>20</v>
      </c>
      <c r="H38" s="11"/>
    </row>
    <row r="39" spans="1:8">
      <c r="A39" s="13"/>
      <c r="B39" s="11"/>
      <c r="C39" s="11"/>
      <c r="D39" s="11"/>
      <c r="E39" s="11"/>
      <c r="F39" s="11"/>
      <c r="G39" s="9">
        <f t="shared" si="0"/>
        <v>20</v>
      </c>
      <c r="H39" s="11"/>
    </row>
    <row r="40" spans="1:8">
      <c r="A40" s="13"/>
      <c r="B40" s="11"/>
      <c r="C40" s="11"/>
      <c r="D40" s="11"/>
      <c r="E40" s="11"/>
      <c r="F40" s="11"/>
      <c r="G40" s="9">
        <f t="shared" si="0"/>
        <v>20</v>
      </c>
      <c r="H40" s="11"/>
    </row>
    <row r="41" spans="1:8">
      <c r="A41" s="13"/>
      <c r="B41" s="11"/>
      <c r="C41" s="11"/>
      <c r="D41" s="11"/>
      <c r="E41" s="11"/>
      <c r="F41" s="11"/>
      <c r="G41" s="9">
        <f t="shared" si="0"/>
        <v>20</v>
      </c>
      <c r="H41" s="11"/>
    </row>
    <row r="42" spans="1:8">
      <c r="A42" s="13"/>
      <c r="B42" s="11"/>
      <c r="C42" s="11"/>
      <c r="D42" s="11"/>
      <c r="E42" s="11"/>
      <c r="F42" s="11"/>
      <c r="G42" s="9">
        <f t="shared" si="0"/>
        <v>20</v>
      </c>
      <c r="H42" s="11"/>
    </row>
    <row r="43" spans="1:8">
      <c r="A43" s="13"/>
      <c r="B43" s="11"/>
      <c r="C43" s="11"/>
      <c r="D43" s="11"/>
      <c r="E43" s="11"/>
      <c r="F43" s="11"/>
      <c r="G43" s="9">
        <f t="shared" si="0"/>
        <v>20</v>
      </c>
      <c r="H43" s="11"/>
    </row>
    <row r="44" spans="1:8">
      <c r="A44" s="13"/>
      <c r="B44" s="11"/>
      <c r="C44" s="11"/>
      <c r="D44" s="11"/>
      <c r="E44" s="11"/>
      <c r="F44" s="11"/>
      <c r="G44" s="9">
        <f t="shared" si="0"/>
        <v>20</v>
      </c>
      <c r="H44" s="11"/>
    </row>
    <row r="45" spans="1:8">
      <c r="A45" s="13"/>
      <c r="B45" s="11"/>
      <c r="C45" s="11"/>
      <c r="D45" s="11"/>
      <c r="E45" s="11"/>
      <c r="F45" s="11"/>
      <c r="G45" s="9">
        <f t="shared" si="0"/>
        <v>20</v>
      </c>
      <c r="H45" s="11"/>
    </row>
  </sheetData>
  <mergeCells count="2">
    <mergeCell ref="A1:H1"/>
    <mergeCell ref="A2:H2"/>
  </mergeCells>
  <dataValidations count="1">
    <dataValidation type="list" allowBlank="1" sqref="C6:C45">
      <formula1>"Input,Growing Stock,Harvested Produce,Finished Good"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showGridLines="0" workbookViewId="0">
      <pane ySplit="4" topLeftCell="A5" activePane="bottomLeft" state="frozen"/>
      <selection/>
      <selection pane="bottomLeft" activeCell="A1" sqref="A1:G1"/>
    </sheetView>
  </sheetViews>
  <sheetFormatPr defaultColWidth="8.68181818181818" defaultRowHeight="14.5" outlineLevelCol="6"/>
  <cols>
    <col min="1" max="1" width="16" customWidth="1"/>
    <col min="2" max="2" width="22" customWidth="1"/>
    <col min="3" max="3" width="20" customWidth="1"/>
    <col min="4" max="4" width="16" customWidth="1"/>
    <col min="5" max="5" width="14" customWidth="1"/>
    <col min="6" max="7" width="16" customWidth="1"/>
  </cols>
  <sheetData>
    <row r="1" ht="24" customHeight="1" spans="1:7">
      <c r="A1" s="1" t="s">
        <v>76</v>
      </c>
      <c r="B1" s="1"/>
      <c r="C1" s="1"/>
      <c r="D1" s="1"/>
      <c r="E1" s="1"/>
      <c r="F1" s="1"/>
      <c r="G1" s="1"/>
    </row>
    <row r="2" spans="1:7">
      <c r="A2" s="2" t="s">
        <v>77</v>
      </c>
      <c r="B2" s="2"/>
      <c r="C2" s="2"/>
      <c r="D2" s="2"/>
      <c r="E2" s="2"/>
      <c r="F2" s="2"/>
      <c r="G2" s="2"/>
    </row>
    <row r="4" ht="28" spans="1:7">
      <c r="A4" s="8" t="s">
        <v>78</v>
      </c>
      <c r="B4" s="8" t="s">
        <v>79</v>
      </c>
      <c r="C4" s="8" t="s">
        <v>80</v>
      </c>
      <c r="D4" s="8" t="s">
        <v>81</v>
      </c>
      <c r="E4" s="8" t="s">
        <v>82</v>
      </c>
      <c r="F4" s="8" t="s">
        <v>83</v>
      </c>
      <c r="G4" s="8" t="s">
        <v>84</v>
      </c>
    </row>
    <row r="5" spans="1:7">
      <c r="A5" s="10">
        <v>46053</v>
      </c>
      <c r="B5" s="9" t="s">
        <v>85</v>
      </c>
      <c r="C5" s="9" t="s">
        <v>86</v>
      </c>
      <c r="D5" s="9">
        <v>24</v>
      </c>
      <c r="E5" s="6">
        <v>3500</v>
      </c>
      <c r="F5" s="6">
        <f t="shared" ref="F5:F40" si="0">D5*E5</f>
        <v>84000</v>
      </c>
      <c r="G5" s="9" t="s">
        <v>47</v>
      </c>
    </row>
    <row r="6" spans="1:7">
      <c r="A6" s="13"/>
      <c r="B6" s="11"/>
      <c r="C6" s="11"/>
      <c r="D6" s="11"/>
      <c r="E6" s="12"/>
      <c r="F6" s="6">
        <f t="shared" si="0"/>
        <v>0</v>
      </c>
      <c r="G6" s="11"/>
    </row>
    <row r="7" spans="1:7">
      <c r="A7" s="13"/>
      <c r="B7" s="11"/>
      <c r="C7" s="11"/>
      <c r="D7" s="11"/>
      <c r="E7" s="12"/>
      <c r="F7" s="6">
        <f t="shared" si="0"/>
        <v>0</v>
      </c>
      <c r="G7" s="11"/>
    </row>
    <row r="8" spans="1:7">
      <c r="A8" s="13"/>
      <c r="B8" s="11"/>
      <c r="C8" s="11"/>
      <c r="D8" s="11"/>
      <c r="E8" s="12"/>
      <c r="F8" s="6">
        <f t="shared" si="0"/>
        <v>0</v>
      </c>
      <c r="G8" s="11"/>
    </row>
    <row r="9" spans="1:7">
      <c r="A9" s="13"/>
      <c r="B9" s="11"/>
      <c r="C9" s="11"/>
      <c r="D9" s="11"/>
      <c r="E9" s="12"/>
      <c r="F9" s="6">
        <f t="shared" si="0"/>
        <v>0</v>
      </c>
      <c r="G9" s="11"/>
    </row>
    <row r="10" spans="1:7">
      <c r="A10" s="13"/>
      <c r="B10" s="11"/>
      <c r="C10" s="11"/>
      <c r="D10" s="11"/>
      <c r="E10" s="12"/>
      <c r="F10" s="6">
        <f t="shared" si="0"/>
        <v>0</v>
      </c>
      <c r="G10" s="11"/>
    </row>
    <row r="11" spans="1:7">
      <c r="A11" s="13"/>
      <c r="B11" s="11"/>
      <c r="C11" s="11"/>
      <c r="D11" s="11"/>
      <c r="E11" s="12"/>
      <c r="F11" s="6">
        <f t="shared" si="0"/>
        <v>0</v>
      </c>
      <c r="G11" s="11"/>
    </row>
    <row r="12" spans="1:7">
      <c r="A12" s="13"/>
      <c r="B12" s="11"/>
      <c r="C12" s="11"/>
      <c r="D12" s="11"/>
      <c r="E12" s="12"/>
      <c r="F12" s="6">
        <f t="shared" si="0"/>
        <v>0</v>
      </c>
      <c r="G12" s="11"/>
    </row>
    <row r="13" spans="1:7">
      <c r="A13" s="13"/>
      <c r="B13" s="11"/>
      <c r="C13" s="11"/>
      <c r="D13" s="11"/>
      <c r="E13" s="12"/>
      <c r="F13" s="6">
        <f t="shared" si="0"/>
        <v>0</v>
      </c>
      <c r="G13" s="11"/>
    </row>
    <row r="14" spans="1:7">
      <c r="A14" s="13"/>
      <c r="B14" s="11"/>
      <c r="C14" s="11"/>
      <c r="D14" s="11"/>
      <c r="E14" s="12"/>
      <c r="F14" s="6">
        <f t="shared" si="0"/>
        <v>0</v>
      </c>
      <c r="G14" s="11"/>
    </row>
    <row r="15" spans="1:7">
      <c r="A15" s="13"/>
      <c r="B15" s="11"/>
      <c r="C15" s="11"/>
      <c r="D15" s="11"/>
      <c r="E15" s="12"/>
      <c r="F15" s="6">
        <f t="shared" si="0"/>
        <v>0</v>
      </c>
      <c r="G15" s="11"/>
    </row>
    <row r="16" spans="1:7">
      <c r="A16" s="13"/>
      <c r="B16" s="11"/>
      <c r="C16" s="11"/>
      <c r="D16" s="11"/>
      <c r="E16" s="12"/>
      <c r="F16" s="6">
        <f t="shared" si="0"/>
        <v>0</v>
      </c>
      <c r="G16" s="11"/>
    </row>
    <row r="17" spans="1:7">
      <c r="A17" s="13"/>
      <c r="B17" s="11"/>
      <c r="C17" s="11"/>
      <c r="D17" s="11"/>
      <c r="E17" s="12"/>
      <c r="F17" s="6">
        <f t="shared" si="0"/>
        <v>0</v>
      </c>
      <c r="G17" s="11"/>
    </row>
    <row r="18" spans="1:7">
      <c r="A18" s="13"/>
      <c r="B18" s="11"/>
      <c r="C18" s="11"/>
      <c r="D18" s="11"/>
      <c r="E18" s="12"/>
      <c r="F18" s="6">
        <f t="shared" si="0"/>
        <v>0</v>
      </c>
      <c r="G18" s="11"/>
    </row>
    <row r="19" spans="1:7">
      <c r="A19" s="13"/>
      <c r="B19" s="11"/>
      <c r="C19" s="11"/>
      <c r="D19" s="11"/>
      <c r="E19" s="12"/>
      <c r="F19" s="6">
        <f t="shared" si="0"/>
        <v>0</v>
      </c>
      <c r="G19" s="11"/>
    </row>
    <row r="20" spans="1:7">
      <c r="A20" s="13"/>
      <c r="B20" s="11"/>
      <c r="C20" s="11"/>
      <c r="D20" s="11"/>
      <c r="E20" s="12"/>
      <c r="F20" s="6">
        <f t="shared" si="0"/>
        <v>0</v>
      </c>
      <c r="G20" s="11"/>
    </row>
    <row r="21" spans="1:7">
      <c r="A21" s="13"/>
      <c r="B21" s="11"/>
      <c r="C21" s="11"/>
      <c r="D21" s="11"/>
      <c r="E21" s="12"/>
      <c r="F21" s="6">
        <f t="shared" si="0"/>
        <v>0</v>
      </c>
      <c r="G21" s="11"/>
    </row>
    <row r="22" spans="1:7">
      <c r="A22" s="13"/>
      <c r="B22" s="11"/>
      <c r="C22" s="11"/>
      <c r="D22" s="11"/>
      <c r="E22" s="12"/>
      <c r="F22" s="6">
        <f t="shared" si="0"/>
        <v>0</v>
      </c>
      <c r="G22" s="11"/>
    </row>
    <row r="23" spans="1:7">
      <c r="A23" s="13"/>
      <c r="B23" s="11"/>
      <c r="C23" s="11"/>
      <c r="D23" s="11"/>
      <c r="E23" s="12"/>
      <c r="F23" s="6">
        <f t="shared" si="0"/>
        <v>0</v>
      </c>
      <c r="G23" s="11"/>
    </row>
    <row r="24" spans="1:7">
      <c r="A24" s="13"/>
      <c r="B24" s="11"/>
      <c r="C24" s="11"/>
      <c r="D24" s="11"/>
      <c r="E24" s="12"/>
      <c r="F24" s="6">
        <f t="shared" si="0"/>
        <v>0</v>
      </c>
      <c r="G24" s="11"/>
    </row>
    <row r="25" spans="1:7">
      <c r="A25" s="13"/>
      <c r="B25" s="11"/>
      <c r="C25" s="11"/>
      <c r="D25" s="11"/>
      <c r="E25" s="12"/>
      <c r="F25" s="6">
        <f t="shared" si="0"/>
        <v>0</v>
      </c>
      <c r="G25" s="11"/>
    </row>
    <row r="26" spans="1:7">
      <c r="A26" s="13"/>
      <c r="B26" s="11"/>
      <c r="C26" s="11"/>
      <c r="D26" s="11"/>
      <c r="E26" s="12"/>
      <c r="F26" s="6">
        <f t="shared" si="0"/>
        <v>0</v>
      </c>
      <c r="G26" s="11"/>
    </row>
    <row r="27" spans="1:7">
      <c r="A27" s="13"/>
      <c r="B27" s="11"/>
      <c r="C27" s="11"/>
      <c r="D27" s="11"/>
      <c r="E27" s="12"/>
      <c r="F27" s="6">
        <f t="shared" si="0"/>
        <v>0</v>
      </c>
      <c r="G27" s="11"/>
    </row>
    <row r="28" spans="1:7">
      <c r="A28" s="13"/>
      <c r="B28" s="11"/>
      <c r="C28" s="11"/>
      <c r="D28" s="11"/>
      <c r="E28" s="12"/>
      <c r="F28" s="6">
        <f t="shared" si="0"/>
        <v>0</v>
      </c>
      <c r="G28" s="11"/>
    </row>
    <row r="29" spans="1:7">
      <c r="A29" s="13"/>
      <c r="B29" s="11"/>
      <c r="C29" s="11"/>
      <c r="D29" s="11"/>
      <c r="E29" s="12"/>
      <c r="F29" s="6">
        <f t="shared" si="0"/>
        <v>0</v>
      </c>
      <c r="G29" s="11"/>
    </row>
    <row r="30" spans="1:7">
      <c r="A30" s="13"/>
      <c r="B30" s="11"/>
      <c r="C30" s="11"/>
      <c r="D30" s="11"/>
      <c r="E30" s="12"/>
      <c r="F30" s="6">
        <f t="shared" si="0"/>
        <v>0</v>
      </c>
      <c r="G30" s="11"/>
    </row>
    <row r="31" spans="1:7">
      <c r="A31" s="13"/>
      <c r="B31" s="11"/>
      <c r="C31" s="11"/>
      <c r="D31" s="11"/>
      <c r="E31" s="12"/>
      <c r="F31" s="6">
        <f t="shared" si="0"/>
        <v>0</v>
      </c>
      <c r="G31" s="11"/>
    </row>
    <row r="32" spans="1:7">
      <c r="A32" s="13"/>
      <c r="B32" s="11"/>
      <c r="C32" s="11"/>
      <c r="D32" s="11"/>
      <c r="E32" s="12"/>
      <c r="F32" s="6">
        <f t="shared" si="0"/>
        <v>0</v>
      </c>
      <c r="G32" s="11"/>
    </row>
    <row r="33" spans="1:7">
      <c r="A33" s="13"/>
      <c r="B33" s="11"/>
      <c r="C33" s="11"/>
      <c r="D33" s="11"/>
      <c r="E33" s="12"/>
      <c r="F33" s="6">
        <f t="shared" si="0"/>
        <v>0</v>
      </c>
      <c r="G33" s="11"/>
    </row>
    <row r="34" spans="1:7">
      <c r="A34" s="13"/>
      <c r="B34" s="11"/>
      <c r="C34" s="11"/>
      <c r="D34" s="11"/>
      <c r="E34" s="12"/>
      <c r="F34" s="6">
        <f t="shared" si="0"/>
        <v>0</v>
      </c>
      <c r="G34" s="11"/>
    </row>
    <row r="35" spans="1:7">
      <c r="A35" s="13"/>
      <c r="B35" s="11"/>
      <c r="C35" s="11"/>
      <c r="D35" s="11"/>
      <c r="E35" s="12"/>
      <c r="F35" s="6">
        <f t="shared" si="0"/>
        <v>0</v>
      </c>
      <c r="G35" s="11"/>
    </row>
    <row r="36" spans="1:7">
      <c r="A36" s="13"/>
      <c r="B36" s="11"/>
      <c r="C36" s="11"/>
      <c r="D36" s="11"/>
      <c r="E36" s="12"/>
      <c r="F36" s="6">
        <f t="shared" si="0"/>
        <v>0</v>
      </c>
      <c r="G36" s="11"/>
    </row>
    <row r="37" spans="1:7">
      <c r="A37" s="13"/>
      <c r="B37" s="11"/>
      <c r="C37" s="11"/>
      <c r="D37" s="11"/>
      <c r="E37" s="12"/>
      <c r="F37" s="6">
        <f t="shared" si="0"/>
        <v>0</v>
      </c>
      <c r="G37" s="11"/>
    </row>
    <row r="38" spans="1:7">
      <c r="A38" s="13"/>
      <c r="B38" s="11"/>
      <c r="C38" s="11"/>
      <c r="D38" s="11"/>
      <c r="E38" s="12"/>
      <c r="F38" s="6">
        <f t="shared" si="0"/>
        <v>0</v>
      </c>
      <c r="G38" s="11"/>
    </row>
    <row r="39" spans="1:7">
      <c r="A39" s="13"/>
      <c r="B39" s="11"/>
      <c r="C39" s="11"/>
      <c r="D39" s="11"/>
      <c r="E39" s="12"/>
      <c r="F39" s="6">
        <f t="shared" si="0"/>
        <v>0</v>
      </c>
      <c r="G39" s="11"/>
    </row>
    <row r="40" spans="1:7">
      <c r="A40" s="13"/>
      <c r="B40" s="11"/>
      <c r="C40" s="11"/>
      <c r="D40" s="11"/>
      <c r="E40" s="12"/>
      <c r="F40" s="6">
        <f t="shared" si="0"/>
        <v>0</v>
      </c>
      <c r="G40" s="11"/>
    </row>
    <row r="42" spans="5:6">
      <c r="E42" s="14" t="s">
        <v>87</v>
      </c>
      <c r="F42" s="15">
        <f>SUM(F5:F40)</f>
        <v>84000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8.68181818181818" defaultRowHeight="14.5" outlineLevelCol="5"/>
  <cols>
    <col min="1" max="1" width="15" customWidth="1"/>
    <col min="2" max="2" width="22" customWidth="1"/>
    <col min="3" max="3" width="28" customWidth="1"/>
    <col min="4" max="5" width="16" customWidth="1"/>
    <col min="6" max="6" width="20" customWidth="1"/>
  </cols>
  <sheetData>
    <row r="1" ht="24" customHeight="1" spans="1:6">
      <c r="A1" s="1" t="s">
        <v>20</v>
      </c>
      <c r="B1" s="1"/>
      <c r="C1" s="1"/>
      <c r="D1" s="1"/>
      <c r="E1" s="1"/>
      <c r="F1" s="1"/>
    </row>
    <row r="2" spans="1:6">
      <c r="A2" s="2" t="s">
        <v>88</v>
      </c>
      <c r="B2" s="2"/>
      <c r="C2" s="2"/>
      <c r="D2" s="2"/>
      <c r="E2" s="2"/>
      <c r="F2" s="2"/>
    </row>
    <row r="4" ht="28" spans="1:6">
      <c r="A4" s="8" t="s">
        <v>89</v>
      </c>
      <c r="B4" s="8" t="s">
        <v>90</v>
      </c>
      <c r="C4" s="8" t="s">
        <v>30</v>
      </c>
      <c r="D4" s="8" t="s">
        <v>91</v>
      </c>
      <c r="E4" s="8" t="s">
        <v>92</v>
      </c>
      <c r="F4" s="8" t="s">
        <v>93</v>
      </c>
    </row>
    <row r="5" spans="1:6">
      <c r="A5" s="10">
        <v>45971</v>
      </c>
      <c r="B5" s="9" t="s">
        <v>94</v>
      </c>
      <c r="C5" s="9" t="s">
        <v>95</v>
      </c>
      <c r="D5" s="6">
        <v>180000</v>
      </c>
      <c r="E5" s="9">
        <v>5</v>
      </c>
      <c r="F5" s="6">
        <f t="shared" ref="F5:F30" si="0">IFERROR(D5/E5,0)</f>
        <v>36000</v>
      </c>
    </row>
    <row r="6" spans="1:6">
      <c r="A6" s="13"/>
      <c r="B6" s="11"/>
      <c r="C6" s="11"/>
      <c r="D6" s="12"/>
      <c r="E6" s="11"/>
      <c r="F6" s="6">
        <f t="shared" si="0"/>
        <v>0</v>
      </c>
    </row>
    <row r="7" spans="1:6">
      <c r="A7" s="13"/>
      <c r="B7" s="11"/>
      <c r="C7" s="11"/>
      <c r="D7" s="12"/>
      <c r="E7" s="11"/>
      <c r="F7" s="6">
        <f t="shared" si="0"/>
        <v>0</v>
      </c>
    </row>
    <row r="8" spans="1:6">
      <c r="A8" s="13"/>
      <c r="B8" s="11"/>
      <c r="C8" s="11"/>
      <c r="D8" s="12"/>
      <c r="E8" s="11"/>
      <c r="F8" s="6">
        <f t="shared" si="0"/>
        <v>0</v>
      </c>
    </row>
    <row r="9" spans="1:6">
      <c r="A9" s="13"/>
      <c r="B9" s="11"/>
      <c r="C9" s="11"/>
      <c r="D9" s="12"/>
      <c r="E9" s="11"/>
      <c r="F9" s="6">
        <f t="shared" si="0"/>
        <v>0</v>
      </c>
    </row>
    <row r="10" spans="1:6">
      <c r="A10" s="13"/>
      <c r="B10" s="11"/>
      <c r="C10" s="11"/>
      <c r="D10" s="12"/>
      <c r="E10" s="11"/>
      <c r="F10" s="6">
        <f t="shared" si="0"/>
        <v>0</v>
      </c>
    </row>
    <row r="11" spans="1:6">
      <c r="A11" s="13"/>
      <c r="B11" s="11"/>
      <c r="C11" s="11"/>
      <c r="D11" s="12"/>
      <c r="E11" s="11"/>
      <c r="F11" s="6">
        <f t="shared" si="0"/>
        <v>0</v>
      </c>
    </row>
    <row r="12" spans="1:6">
      <c r="A12" s="13"/>
      <c r="B12" s="11"/>
      <c r="C12" s="11"/>
      <c r="D12" s="12"/>
      <c r="E12" s="11"/>
      <c r="F12" s="6">
        <f t="shared" si="0"/>
        <v>0</v>
      </c>
    </row>
    <row r="13" spans="1:6">
      <c r="A13" s="13"/>
      <c r="B13" s="11"/>
      <c r="C13" s="11"/>
      <c r="D13" s="12"/>
      <c r="E13" s="11"/>
      <c r="F13" s="6">
        <f t="shared" si="0"/>
        <v>0</v>
      </c>
    </row>
    <row r="14" spans="1:6">
      <c r="A14" s="13"/>
      <c r="B14" s="11"/>
      <c r="C14" s="11"/>
      <c r="D14" s="12"/>
      <c r="E14" s="11"/>
      <c r="F14" s="6">
        <f t="shared" si="0"/>
        <v>0</v>
      </c>
    </row>
    <row r="15" spans="1:6">
      <c r="A15" s="13"/>
      <c r="B15" s="11"/>
      <c r="C15" s="11"/>
      <c r="D15" s="12"/>
      <c r="E15" s="11"/>
      <c r="F15" s="6">
        <f t="shared" si="0"/>
        <v>0</v>
      </c>
    </row>
    <row r="16" spans="1:6">
      <c r="A16" s="13"/>
      <c r="B16" s="11"/>
      <c r="C16" s="11"/>
      <c r="D16" s="12"/>
      <c r="E16" s="11"/>
      <c r="F16" s="6">
        <f t="shared" si="0"/>
        <v>0</v>
      </c>
    </row>
    <row r="17" spans="1:6">
      <c r="A17" s="13"/>
      <c r="B17" s="11"/>
      <c r="C17" s="11"/>
      <c r="D17" s="12"/>
      <c r="E17" s="11"/>
      <c r="F17" s="6">
        <f t="shared" si="0"/>
        <v>0</v>
      </c>
    </row>
    <row r="18" spans="1:6">
      <c r="A18" s="13"/>
      <c r="B18" s="11"/>
      <c r="C18" s="11"/>
      <c r="D18" s="12"/>
      <c r="E18" s="11"/>
      <c r="F18" s="6">
        <f t="shared" si="0"/>
        <v>0</v>
      </c>
    </row>
    <row r="19" spans="1:6">
      <c r="A19" s="13"/>
      <c r="B19" s="11"/>
      <c r="C19" s="11"/>
      <c r="D19" s="12"/>
      <c r="E19" s="11"/>
      <c r="F19" s="6">
        <f t="shared" si="0"/>
        <v>0</v>
      </c>
    </row>
    <row r="20" spans="1:6">
      <c r="A20" s="13"/>
      <c r="B20" s="11"/>
      <c r="C20" s="11"/>
      <c r="D20" s="12"/>
      <c r="E20" s="11"/>
      <c r="F20" s="6">
        <f t="shared" si="0"/>
        <v>0</v>
      </c>
    </row>
    <row r="21" spans="1:6">
      <c r="A21" s="13"/>
      <c r="B21" s="11"/>
      <c r="C21" s="11"/>
      <c r="D21" s="12"/>
      <c r="E21" s="11"/>
      <c r="F21" s="6">
        <f t="shared" si="0"/>
        <v>0</v>
      </c>
    </row>
    <row r="22" spans="1:6">
      <c r="A22" s="13"/>
      <c r="B22" s="11"/>
      <c r="C22" s="11"/>
      <c r="D22" s="12"/>
      <c r="E22" s="11"/>
      <c r="F22" s="6">
        <f t="shared" si="0"/>
        <v>0</v>
      </c>
    </row>
    <row r="23" spans="1:6">
      <c r="A23" s="13"/>
      <c r="B23" s="11"/>
      <c r="C23" s="11"/>
      <c r="D23" s="12"/>
      <c r="E23" s="11"/>
      <c r="F23" s="6">
        <f t="shared" si="0"/>
        <v>0</v>
      </c>
    </row>
    <row r="24" spans="1:6">
      <c r="A24" s="13"/>
      <c r="B24" s="11"/>
      <c r="C24" s="11"/>
      <c r="D24" s="12"/>
      <c r="E24" s="11"/>
      <c r="F24" s="6">
        <f t="shared" si="0"/>
        <v>0</v>
      </c>
    </row>
    <row r="25" spans="1:6">
      <c r="A25" s="13"/>
      <c r="B25" s="11"/>
      <c r="C25" s="11"/>
      <c r="D25" s="12"/>
      <c r="E25" s="11"/>
      <c r="F25" s="6">
        <f t="shared" si="0"/>
        <v>0</v>
      </c>
    </row>
    <row r="26" spans="1:6">
      <c r="A26" s="13"/>
      <c r="B26" s="11"/>
      <c r="C26" s="11"/>
      <c r="D26" s="12"/>
      <c r="E26" s="11"/>
      <c r="F26" s="6">
        <f t="shared" si="0"/>
        <v>0</v>
      </c>
    </row>
    <row r="27" spans="1:6">
      <c r="A27" s="13"/>
      <c r="B27" s="11"/>
      <c r="C27" s="11"/>
      <c r="D27" s="12"/>
      <c r="E27" s="11"/>
      <c r="F27" s="6">
        <f t="shared" si="0"/>
        <v>0</v>
      </c>
    </row>
    <row r="28" spans="1:6">
      <c r="A28" s="13"/>
      <c r="B28" s="11"/>
      <c r="C28" s="11"/>
      <c r="D28" s="12"/>
      <c r="E28" s="11"/>
      <c r="F28" s="6">
        <f t="shared" si="0"/>
        <v>0</v>
      </c>
    </row>
    <row r="29" spans="1:6">
      <c r="A29" s="13"/>
      <c r="B29" s="11"/>
      <c r="C29" s="11"/>
      <c r="D29" s="12"/>
      <c r="E29" s="11"/>
      <c r="F29" s="6">
        <f t="shared" si="0"/>
        <v>0</v>
      </c>
    </row>
    <row r="30" spans="1:6">
      <c r="A30" s="13"/>
      <c r="B30" s="11"/>
      <c r="C30" s="11"/>
      <c r="D30" s="12"/>
      <c r="E30" s="11"/>
      <c r="F30" s="6">
        <f t="shared" si="0"/>
        <v>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showGridLines="0" workbookViewId="0">
      <pane ySplit="4" topLeftCell="A5" activePane="bottomLeft" state="frozen"/>
      <selection/>
      <selection pane="bottomLeft" activeCell="A6" sqref="A6"/>
    </sheetView>
  </sheetViews>
  <sheetFormatPr defaultColWidth="8.68181818181818" defaultRowHeight="14.5" outlineLevelCol="6"/>
  <cols>
    <col min="1" max="1" width="14" customWidth="1"/>
    <col min="2" max="2" width="24" customWidth="1"/>
    <col min="3" max="3" width="26" customWidth="1"/>
    <col min="4" max="4" width="16" customWidth="1"/>
    <col min="5" max="7" width="14" customWidth="1"/>
  </cols>
  <sheetData>
    <row r="1" ht="24" customHeight="1" spans="1:7">
      <c r="A1" s="1" t="s">
        <v>96</v>
      </c>
      <c r="B1" s="1"/>
      <c r="C1" s="1"/>
      <c r="D1" s="1"/>
      <c r="E1" s="1"/>
      <c r="F1" s="1"/>
      <c r="G1" s="1"/>
    </row>
    <row r="2" spans="1:7">
      <c r="A2" s="2" t="s">
        <v>97</v>
      </c>
      <c r="B2" s="2"/>
      <c r="C2" s="2"/>
      <c r="D2" s="2"/>
      <c r="E2" s="2"/>
      <c r="F2" s="2"/>
      <c r="G2" s="2"/>
    </row>
    <row r="4" spans="1:7">
      <c r="A4" s="8" t="s">
        <v>98</v>
      </c>
      <c r="B4" s="8" t="s">
        <v>99</v>
      </c>
      <c r="C4" s="8" t="s">
        <v>30</v>
      </c>
      <c r="D4" s="8" t="s">
        <v>43</v>
      </c>
      <c r="E4" s="8" t="s">
        <v>29</v>
      </c>
      <c r="F4" s="8" t="s">
        <v>100</v>
      </c>
      <c r="G4" s="8" t="s">
        <v>101</v>
      </c>
    </row>
    <row r="5" spans="1:7">
      <c r="A5" s="9" t="s">
        <v>102</v>
      </c>
      <c r="B5" s="9" t="s">
        <v>103</v>
      </c>
      <c r="C5" s="9" t="s">
        <v>104</v>
      </c>
      <c r="D5" s="6">
        <v>150000</v>
      </c>
      <c r="E5" s="10">
        <v>46032</v>
      </c>
      <c r="F5" s="10">
        <v>46063</v>
      </c>
      <c r="G5" s="9" t="s">
        <v>105</v>
      </c>
    </row>
    <row r="6" spans="1:7">
      <c r="A6" s="11"/>
      <c r="B6" s="11"/>
      <c r="C6" s="11"/>
      <c r="D6" s="12"/>
      <c r="E6" s="13"/>
      <c r="F6" s="13"/>
      <c r="G6" s="11"/>
    </row>
    <row r="7" spans="1:7">
      <c r="A7" s="11"/>
      <c r="B7" s="11"/>
      <c r="C7" s="11"/>
      <c r="D7" s="12"/>
      <c r="E7" s="13"/>
      <c r="F7" s="13"/>
      <c r="G7" s="11"/>
    </row>
    <row r="8" spans="1:7">
      <c r="A8" s="11"/>
      <c r="B8" s="11"/>
      <c r="C8" s="11"/>
      <c r="D8" s="12"/>
      <c r="E8" s="13"/>
      <c r="F8" s="13"/>
      <c r="G8" s="11"/>
    </row>
    <row r="9" spans="1:7">
      <c r="A9" s="11"/>
      <c r="B9" s="11"/>
      <c r="C9" s="11"/>
      <c r="D9" s="12"/>
      <c r="E9" s="13"/>
      <c r="F9" s="13"/>
      <c r="G9" s="11"/>
    </row>
    <row r="10" spans="1:7">
      <c r="A10" s="11"/>
      <c r="B10" s="11"/>
      <c r="C10" s="11"/>
      <c r="D10" s="12"/>
      <c r="E10" s="13"/>
      <c r="F10" s="13"/>
      <c r="G10" s="11"/>
    </row>
    <row r="11" spans="1:7">
      <c r="A11" s="11"/>
      <c r="B11" s="11"/>
      <c r="C11" s="11"/>
      <c r="D11" s="12"/>
      <c r="E11" s="13"/>
      <c r="F11" s="13"/>
      <c r="G11" s="11"/>
    </row>
    <row r="12" spans="1:7">
      <c r="A12" s="11"/>
      <c r="B12" s="11"/>
      <c r="C12" s="11"/>
      <c r="D12" s="12"/>
      <c r="E12" s="13"/>
      <c r="F12" s="13"/>
      <c r="G12" s="11"/>
    </row>
    <row r="13" spans="1:7">
      <c r="A13" s="11"/>
      <c r="B13" s="11"/>
      <c r="C13" s="11"/>
      <c r="D13" s="12"/>
      <c r="E13" s="13"/>
      <c r="F13" s="13"/>
      <c r="G13" s="11"/>
    </row>
    <row r="14" spans="1:7">
      <c r="A14" s="11"/>
      <c r="B14" s="11"/>
      <c r="C14" s="11"/>
      <c r="D14" s="12"/>
      <c r="E14" s="13"/>
      <c r="F14" s="13"/>
      <c r="G14" s="11"/>
    </row>
    <row r="15" spans="1:7">
      <c r="A15" s="11"/>
      <c r="B15" s="11"/>
      <c r="C15" s="11"/>
      <c r="D15" s="12"/>
      <c r="E15" s="13"/>
      <c r="F15" s="13"/>
      <c r="G15" s="11"/>
    </row>
    <row r="16" spans="1:7">
      <c r="A16" s="11"/>
      <c r="B16" s="11"/>
      <c r="C16" s="11"/>
      <c r="D16" s="12"/>
      <c r="E16" s="13"/>
      <c r="F16" s="13"/>
      <c r="G16" s="11"/>
    </row>
    <row r="17" spans="1:7">
      <c r="A17" s="11"/>
      <c r="B17" s="11"/>
      <c r="C17" s="11"/>
      <c r="D17" s="12"/>
      <c r="E17" s="13"/>
      <c r="F17" s="13"/>
      <c r="G17" s="11"/>
    </row>
    <row r="18" spans="1:7">
      <c r="A18" s="11"/>
      <c r="B18" s="11"/>
      <c r="C18" s="11"/>
      <c r="D18" s="12"/>
      <c r="E18" s="13"/>
      <c r="F18" s="13"/>
      <c r="G18" s="11"/>
    </row>
    <row r="19" spans="1:7">
      <c r="A19" s="11"/>
      <c r="B19" s="11"/>
      <c r="C19" s="11"/>
      <c r="D19" s="12"/>
      <c r="E19" s="13"/>
      <c r="F19" s="13"/>
      <c r="G19" s="11"/>
    </row>
    <row r="20" spans="1:7">
      <c r="A20" s="11"/>
      <c r="B20" s="11"/>
      <c r="C20" s="11"/>
      <c r="D20" s="12"/>
      <c r="E20" s="13"/>
      <c r="F20" s="13"/>
      <c r="G20" s="11"/>
    </row>
    <row r="21" spans="1:7">
      <c r="A21" s="11"/>
      <c r="B21" s="11"/>
      <c r="C21" s="11"/>
      <c r="D21" s="12"/>
      <c r="E21" s="13"/>
      <c r="F21" s="13"/>
      <c r="G21" s="11"/>
    </row>
    <row r="22" spans="1:7">
      <c r="A22" s="11"/>
      <c r="B22" s="11"/>
      <c r="C22" s="11"/>
      <c r="D22" s="12"/>
      <c r="E22" s="13"/>
      <c r="F22" s="13"/>
      <c r="G22" s="11"/>
    </row>
    <row r="23" spans="1:7">
      <c r="A23" s="11"/>
      <c r="B23" s="11"/>
      <c r="C23" s="11"/>
      <c r="D23" s="12"/>
      <c r="E23" s="13"/>
      <c r="F23" s="13"/>
      <c r="G23" s="11"/>
    </row>
    <row r="24" spans="1:7">
      <c r="A24" s="11"/>
      <c r="B24" s="11"/>
      <c r="C24" s="11"/>
      <c r="D24" s="12"/>
      <c r="E24" s="13"/>
      <c r="F24" s="13"/>
      <c r="G24" s="11"/>
    </row>
    <row r="25" spans="1:7">
      <c r="A25" s="11"/>
      <c r="B25" s="11"/>
      <c r="C25" s="11"/>
      <c r="D25" s="12"/>
      <c r="E25" s="13"/>
      <c r="F25" s="13"/>
      <c r="G25" s="11"/>
    </row>
    <row r="26" spans="1:7">
      <c r="A26" s="11"/>
      <c r="B26" s="11"/>
      <c r="C26" s="11"/>
      <c r="D26" s="12"/>
      <c r="E26" s="13"/>
      <c r="F26" s="13"/>
      <c r="G26" s="11"/>
    </row>
    <row r="27" spans="1:7">
      <c r="A27" s="11"/>
      <c r="B27" s="11"/>
      <c r="C27" s="11"/>
      <c r="D27" s="12"/>
      <c r="E27" s="13"/>
      <c r="F27" s="13"/>
      <c r="G27" s="11"/>
    </row>
    <row r="28" spans="1:7">
      <c r="A28" s="11"/>
      <c r="B28" s="11"/>
      <c r="C28" s="11"/>
      <c r="D28" s="12"/>
      <c r="E28" s="13"/>
      <c r="F28" s="13"/>
      <c r="G28" s="11"/>
    </row>
    <row r="29" spans="1:7">
      <c r="A29" s="11"/>
      <c r="B29" s="11"/>
      <c r="C29" s="11"/>
      <c r="D29" s="12"/>
      <c r="E29" s="13"/>
      <c r="F29" s="13"/>
      <c r="G29" s="11"/>
    </row>
    <row r="30" spans="1:7">
      <c r="A30" s="11"/>
      <c r="B30" s="11"/>
      <c r="C30" s="11"/>
      <c r="D30" s="12"/>
      <c r="E30" s="13"/>
      <c r="F30" s="13"/>
      <c r="G30" s="11"/>
    </row>
    <row r="31" spans="1:7">
      <c r="A31" s="11"/>
      <c r="B31" s="11"/>
      <c r="C31" s="11"/>
      <c r="D31" s="12"/>
      <c r="E31" s="13"/>
      <c r="F31" s="13"/>
      <c r="G31" s="11"/>
    </row>
    <row r="32" spans="1:7">
      <c r="A32" s="11"/>
      <c r="B32" s="11"/>
      <c r="C32" s="11"/>
      <c r="D32" s="12"/>
      <c r="E32" s="13"/>
      <c r="F32" s="13"/>
      <c r="G32" s="11"/>
    </row>
    <row r="33" spans="1:7">
      <c r="A33" s="11"/>
      <c r="B33" s="11"/>
      <c r="C33" s="11"/>
      <c r="D33" s="12"/>
      <c r="E33" s="13"/>
      <c r="F33" s="13"/>
      <c r="G33" s="11"/>
    </row>
    <row r="34" spans="1:7">
      <c r="A34" s="11"/>
      <c r="B34" s="11"/>
      <c r="C34" s="11"/>
      <c r="D34" s="12"/>
      <c r="E34" s="13"/>
      <c r="F34" s="13"/>
      <c r="G34" s="11"/>
    </row>
    <row r="35" spans="1:7">
      <c r="A35" s="11"/>
      <c r="B35" s="11"/>
      <c r="C35" s="11"/>
      <c r="D35" s="12"/>
      <c r="E35" s="13"/>
      <c r="F35" s="13"/>
      <c r="G35" s="11"/>
    </row>
  </sheetData>
  <mergeCells count="2">
    <mergeCell ref="A1:G1"/>
    <mergeCell ref="A2:G2"/>
  </mergeCells>
  <dataValidations count="2">
    <dataValidation type="list" allowBlank="1" sqref="A6:A35">
      <formula1>"Debtor,Creditor"</formula1>
    </dataValidation>
    <dataValidation type="list" allowBlank="1" sqref="G6:G35">
      <formula1>"Outstanding,Paid,Partially Paid"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showGridLines="0" workbookViewId="0">
      <selection activeCell="B5" sqref="B5"/>
    </sheetView>
  </sheetViews>
  <sheetFormatPr defaultColWidth="8.68181818181818" defaultRowHeight="14.5" outlineLevelCol="1"/>
  <cols>
    <col min="1" max="1" width="30" customWidth="1"/>
    <col min="2" max="2" width="20" customWidth="1"/>
  </cols>
  <sheetData>
    <row r="1" ht="24" customHeight="1" spans="1:2">
      <c r="A1" s="1" t="s">
        <v>24</v>
      </c>
      <c r="B1" s="1"/>
    </row>
    <row r="2" spans="1:2">
      <c r="A2" s="2" t="s">
        <v>106</v>
      </c>
      <c r="B2" s="2"/>
    </row>
    <row r="4" spans="1:2">
      <c r="A4" s="3" t="s">
        <v>107</v>
      </c>
      <c r="B4" s="4">
        <v>46023</v>
      </c>
    </row>
    <row r="5" spans="1:2">
      <c r="A5" s="3" t="s">
        <v>108</v>
      </c>
      <c r="B5" s="4">
        <v>46053</v>
      </c>
    </row>
    <row r="6" spans="1:2">
      <c r="A6" s="5"/>
      <c r="B6" s="5"/>
    </row>
    <row r="7" spans="1:2">
      <c r="A7" s="3" t="s">
        <v>48</v>
      </c>
      <c r="B7" s="6">
        <f>SUMIFS('Sales Book'!F:F,'Sales Book'!A:A,"&gt;="&amp;$B$4,'Sales Book'!A:A,"&lt;="&amp;$B$5)</f>
        <v>85000</v>
      </c>
    </row>
    <row r="8" spans="1:2">
      <c r="A8" s="3" t="s">
        <v>56</v>
      </c>
      <c r="B8" s="6">
        <f>SUMIFS('Purchases Book'!F:F,'Purchases Book'!A:A,"&gt;="&amp;$B$4,'Purchases Book'!A:A,"&lt;="&amp;$B$5)</f>
        <v>240000</v>
      </c>
    </row>
    <row r="9" spans="1:2">
      <c r="A9" s="3" t="s">
        <v>109</v>
      </c>
      <c r="B9" s="6">
        <f>SUMIFS('Cash Book'!D:D,'Cash Book'!A:A,"&gt;="&amp;$B$4,'Cash Book'!A:A,"&lt;="&amp;$B$5)</f>
        <v>85000</v>
      </c>
    </row>
    <row r="10" spans="1:2">
      <c r="A10" s="3" t="s">
        <v>110</v>
      </c>
      <c r="B10" s="6">
        <f>SUMIFS('Cash Book'!E:E,'Cash Book'!A:A,"&gt;="&amp;$B$4,'Cash Book'!A:A,"&lt;="&amp;$B$5)</f>
        <v>0</v>
      </c>
    </row>
    <row r="11" spans="1:2">
      <c r="A11" s="3" t="s">
        <v>111</v>
      </c>
      <c r="B11" s="6">
        <f>SUMIFS(Payroll!F:F,Payroll!A:A,"&gt;="&amp;$B$4,Payroll!A:A,"&lt;="&amp;$B$5)</f>
        <v>84000</v>
      </c>
    </row>
    <row r="12" spans="1:2">
      <c r="A12" s="3" t="s">
        <v>112</v>
      </c>
      <c r="B12" s="6">
        <f>SUMIFS('Petty Cash'!D:D,'Petty Cash'!A:A,"&gt;="&amp;$B$4,'Petty Cash'!A:A,"&lt;="&amp;$B$5)</f>
        <v>3500</v>
      </c>
    </row>
    <row r="13" spans="1:2">
      <c r="A13" s="5"/>
      <c r="B13" s="5"/>
    </row>
    <row r="14" spans="1:2">
      <c r="A14" s="3" t="s">
        <v>113</v>
      </c>
      <c r="B14" s="7">
        <f>B9-B10</f>
        <v>85000</v>
      </c>
    </row>
    <row r="15" spans="1:2">
      <c r="A15" s="5"/>
      <c r="B15" s="5"/>
    </row>
    <row r="16" spans="1:2">
      <c r="A16" s="3" t="s">
        <v>114</v>
      </c>
      <c r="B16" s="7">
        <f>B7-B8</f>
        <v>-155000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Start Here</vt:lpstr>
      <vt:lpstr>Cash Book</vt:lpstr>
      <vt:lpstr>Sales Book</vt:lpstr>
      <vt:lpstr>Purchases Book</vt:lpstr>
      <vt:lpstr>Petty Cash</vt:lpstr>
      <vt:lpstr>Inventory Register</vt:lpstr>
      <vt:lpstr>Payroll</vt:lpstr>
      <vt:lpstr>Asset Register</vt:lpstr>
      <vt:lpstr>Debtors &amp; Creditors</vt:lpstr>
      <vt:lpstr>Monthly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Ajibade Basit</cp:lastModifiedBy>
  <cp:revision>0</cp:revision>
  <dcterms:created xsi:type="dcterms:W3CDTF">2026-08-05T17:48:00Z</dcterms:created>
  <dcterms:modified xsi:type="dcterms:W3CDTF">2026-10-03T10:00:48Z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A10FF20435794AA785620C22033673B8_12</vt:lpwstr>
  </property>
  <property fmtid="{D5CDD505-2E9C-101B-9397-08002B2CF9AE}" pid="3" name="KSOProductBuildVer">
    <vt:lpwstr>2057-12.2.0.23206</vt:lpwstr>
  </property>
</Properties>
</file>